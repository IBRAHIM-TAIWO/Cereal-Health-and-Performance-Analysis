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545" activeTab="4"/>
  </bookViews>
  <sheets>
    <sheet name="Raw Data" sheetId="1" r:id="rId1"/>
    <sheet name="Clean Data" sheetId="3" r:id="rId2"/>
    <sheet name="Pivot Table" sheetId="14" r:id="rId3"/>
    <sheet name="KPI Summary" sheetId="7" r:id="rId4"/>
    <sheet name="Dashboard" sheetId="16" r:id="rId5"/>
  </sheets>
  <definedNames>
    <definedName name="_xlnm._FilterDatabase" localSheetId="0" hidden="1">'Raw Data'!$A$1:$P$78</definedName>
    <definedName name="Slicer_Health_Score">#N/A</definedName>
    <definedName name="Slicer_Manufacturer">#N/A</definedName>
    <definedName name="Slicer_Primary_Issue">#N/A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4" i="7" l="1"/>
  <c r="B3" i="7"/>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2" i="3"/>
  <c r="S12" i="3"/>
  <c r="T7" i="3" l="1"/>
  <c r="B5" i="7" l="1"/>
  <c r="B2" i="7"/>
  <c r="W12" i="3"/>
  <c r="W21" i="3"/>
  <c r="W25" i="3"/>
  <c r="W37" i="3"/>
  <c r="W41" i="3"/>
  <c r="W53" i="3"/>
  <c r="W57" i="3"/>
  <c r="W73" i="3"/>
  <c r="U10"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2" i="3"/>
  <c r="U3" i="3"/>
  <c r="U4" i="3"/>
  <c r="U5" i="3"/>
  <c r="U6" i="3"/>
  <c r="U7" i="3"/>
  <c r="U8" i="3"/>
  <c r="U9"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2" i="3"/>
  <c r="T3" i="3"/>
  <c r="T4" i="3"/>
  <c r="T5" i="3"/>
  <c r="T6"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2" i="3"/>
  <c r="S20" i="3"/>
  <c r="W20" i="3" s="1"/>
  <c r="S21" i="3"/>
  <c r="S22" i="3"/>
  <c r="W22" i="3" s="1"/>
  <c r="S23" i="3"/>
  <c r="W23" i="3" s="1"/>
  <c r="S24" i="3"/>
  <c r="W24" i="3" s="1"/>
  <c r="S25" i="3"/>
  <c r="S26" i="3"/>
  <c r="W26" i="3" s="1"/>
  <c r="S27" i="3"/>
  <c r="W27" i="3" s="1"/>
  <c r="S28" i="3"/>
  <c r="W28" i="3" s="1"/>
  <c r="S29" i="3"/>
  <c r="W29" i="3" s="1"/>
  <c r="S30" i="3"/>
  <c r="W30" i="3" s="1"/>
  <c r="S31" i="3"/>
  <c r="W31" i="3" s="1"/>
  <c r="S32" i="3"/>
  <c r="W32" i="3" s="1"/>
  <c r="S33" i="3"/>
  <c r="W33" i="3" s="1"/>
  <c r="S34" i="3"/>
  <c r="W34" i="3" s="1"/>
  <c r="S35" i="3"/>
  <c r="W35" i="3" s="1"/>
  <c r="S36" i="3"/>
  <c r="W36" i="3" s="1"/>
  <c r="S37" i="3"/>
  <c r="S38" i="3"/>
  <c r="W38" i="3" s="1"/>
  <c r="S39" i="3"/>
  <c r="W39" i="3" s="1"/>
  <c r="S40" i="3"/>
  <c r="W40" i="3" s="1"/>
  <c r="S41" i="3"/>
  <c r="S42" i="3"/>
  <c r="W42" i="3" s="1"/>
  <c r="S43" i="3"/>
  <c r="W43" i="3" s="1"/>
  <c r="S44" i="3"/>
  <c r="W44" i="3" s="1"/>
  <c r="S45" i="3"/>
  <c r="W45" i="3" s="1"/>
  <c r="S46" i="3"/>
  <c r="W46" i="3" s="1"/>
  <c r="S47" i="3"/>
  <c r="W47" i="3" s="1"/>
  <c r="S48" i="3"/>
  <c r="W48" i="3" s="1"/>
  <c r="S49" i="3"/>
  <c r="W49" i="3" s="1"/>
  <c r="S50" i="3"/>
  <c r="W50" i="3" s="1"/>
  <c r="S51" i="3"/>
  <c r="W51" i="3" s="1"/>
  <c r="S52" i="3"/>
  <c r="W52" i="3" s="1"/>
  <c r="S53" i="3"/>
  <c r="S54" i="3"/>
  <c r="W54" i="3" s="1"/>
  <c r="S55" i="3"/>
  <c r="W55" i="3" s="1"/>
  <c r="S56" i="3"/>
  <c r="W56" i="3" s="1"/>
  <c r="S57" i="3"/>
  <c r="S58" i="3"/>
  <c r="W58" i="3" s="1"/>
  <c r="S59" i="3"/>
  <c r="W59" i="3" s="1"/>
  <c r="S60" i="3"/>
  <c r="W60" i="3" s="1"/>
  <c r="S61" i="3"/>
  <c r="W61" i="3" s="1"/>
  <c r="S62" i="3"/>
  <c r="W62" i="3" s="1"/>
  <c r="S63" i="3"/>
  <c r="W63" i="3" s="1"/>
  <c r="S64" i="3"/>
  <c r="W64" i="3" s="1"/>
  <c r="S65" i="3"/>
  <c r="W65" i="3" s="1"/>
  <c r="S66" i="3"/>
  <c r="W66" i="3" s="1"/>
  <c r="S67" i="3"/>
  <c r="W67" i="3" s="1"/>
  <c r="S68" i="3"/>
  <c r="W68" i="3" s="1"/>
  <c r="S69" i="3"/>
  <c r="W69" i="3" s="1"/>
  <c r="S70" i="3"/>
  <c r="W70" i="3" s="1"/>
  <c r="S71" i="3"/>
  <c r="W71" i="3" s="1"/>
  <c r="S72" i="3"/>
  <c r="W72" i="3" s="1"/>
  <c r="S73" i="3"/>
  <c r="S74" i="3"/>
  <c r="W74" i="3" s="1"/>
  <c r="S75" i="3"/>
  <c r="W75" i="3" s="1"/>
  <c r="S76" i="3"/>
  <c r="W76" i="3" s="1"/>
  <c r="S77" i="3"/>
  <c r="W77" i="3" s="1"/>
  <c r="S78" i="3"/>
  <c r="W78" i="3" s="1"/>
  <c r="S19" i="3"/>
  <c r="W19" i="3" s="1"/>
  <c r="S3" i="3"/>
  <c r="W3" i="3" s="1"/>
  <c r="S4" i="3"/>
  <c r="S5" i="3"/>
  <c r="W5" i="3" s="1"/>
  <c r="S6" i="3"/>
  <c r="W6" i="3" s="1"/>
  <c r="S7" i="3"/>
  <c r="W7" i="3" s="1"/>
  <c r="S8" i="3"/>
  <c r="W8" i="3" s="1"/>
  <c r="S9" i="3"/>
  <c r="W9" i="3" s="1"/>
  <c r="S10" i="3"/>
  <c r="W10" i="3" s="1"/>
  <c r="S11" i="3"/>
  <c r="W11" i="3" s="1"/>
  <c r="S13" i="3"/>
  <c r="W13" i="3" s="1"/>
  <c r="S14" i="3"/>
  <c r="W14" i="3" s="1"/>
  <c r="S15" i="3"/>
  <c r="W15" i="3" s="1"/>
  <c r="S16" i="3"/>
  <c r="W16" i="3" s="1"/>
  <c r="S17" i="3"/>
  <c r="W17" i="3" s="1"/>
  <c r="S18" i="3"/>
  <c r="W18" i="3" s="1"/>
  <c r="S2" i="3"/>
  <c r="W2" i="3" s="1"/>
  <c r="W4" i="3" l="1"/>
  <c r="B6" i="7"/>
</calcChain>
</file>

<file path=xl/sharedStrings.xml><?xml version="1.0" encoding="utf-8"?>
<sst xmlns="http://schemas.openxmlformats.org/spreadsheetml/2006/main" count="549" uniqueCount="135">
  <si>
    <t>100% Bran</t>
  </si>
  <si>
    <t>100% Natural Bran</t>
  </si>
  <si>
    <t>All-Bran</t>
  </si>
  <si>
    <t>All-Bran with Extra Fiber</t>
  </si>
  <si>
    <t>Almond Delight</t>
  </si>
  <si>
    <t>Apple Cinnamon Cheerios</t>
  </si>
  <si>
    <t>Apple Jacks</t>
  </si>
  <si>
    <t>Basic 4</t>
  </si>
  <si>
    <t>Bran Chex</t>
  </si>
  <si>
    <t>Bran Flakes</t>
  </si>
  <si>
    <t>Cap'n'Crunch</t>
  </si>
  <si>
    <t>Cheerios</t>
  </si>
  <si>
    <t>Cinnamon Toast Crunch</t>
  </si>
  <si>
    <t>Clusters</t>
  </si>
  <si>
    <t>Cocoa Puffs</t>
  </si>
  <si>
    <t>Corn Chex</t>
  </si>
  <si>
    <t>Corn Flakes</t>
  </si>
  <si>
    <t>Corn Pops</t>
  </si>
  <si>
    <t>Count Chocula</t>
  </si>
  <si>
    <t>Cracklin' Oat Bran</t>
  </si>
  <si>
    <t>Cream of Wheat (Quick)</t>
  </si>
  <si>
    <t>Crispix</t>
  </si>
  <si>
    <t>Crispy Wheat &amp; Raisins</t>
  </si>
  <si>
    <t>Double Chex</t>
  </si>
  <si>
    <t>Froot Loops</t>
  </si>
  <si>
    <t>Frosted Flakes</t>
  </si>
  <si>
    <t>Frosted Mini-Wheats</t>
  </si>
  <si>
    <t>Fruit &amp; Fibre Dates; Walnuts; and Oats</t>
  </si>
  <si>
    <t>Fruitful Bran</t>
  </si>
  <si>
    <t>Fruity Pebbles</t>
  </si>
  <si>
    <t>Golden Crisp</t>
  </si>
  <si>
    <t>Golden Grahams</t>
  </si>
  <si>
    <t>Grape Nuts Flakes</t>
  </si>
  <si>
    <t>Grape-Nuts</t>
  </si>
  <si>
    <t>Great Grains Pecan</t>
  </si>
  <si>
    <t>Honey Graham Ohs</t>
  </si>
  <si>
    <t>Honey Nut Cheerios</t>
  </si>
  <si>
    <t>Honey-comb</t>
  </si>
  <si>
    <t>Just Right Crunchy  Nuggets</t>
  </si>
  <si>
    <t>Just Right Fruit &amp; Nut</t>
  </si>
  <si>
    <t>Kix</t>
  </si>
  <si>
    <t>Life</t>
  </si>
  <si>
    <t>Lucky Charms</t>
  </si>
  <si>
    <t>Maypo</t>
  </si>
  <si>
    <t>Muesli Raisins; Dates; &amp; Almonds</t>
  </si>
  <si>
    <t>Muesli Raisins; Peaches; &amp; Pecans</t>
  </si>
  <si>
    <t>Mueslix Crispy Blend</t>
  </si>
  <si>
    <t>Multi-Grain Cheerios</t>
  </si>
  <si>
    <t>Nut&amp;Honey Crunch</t>
  </si>
  <si>
    <t>Nutri-Grain Almond-Raisin</t>
  </si>
  <si>
    <t>Nutri-grain Wheat</t>
  </si>
  <si>
    <t>Oatmeal Raisin Crisp</t>
  </si>
  <si>
    <t>Post Nat. Raisin Bran</t>
  </si>
  <si>
    <t>Product 19</t>
  </si>
  <si>
    <t>Puffed Rice</t>
  </si>
  <si>
    <t>Puffed Wheat</t>
  </si>
  <si>
    <t>Quaker Oat Squares</t>
  </si>
  <si>
    <t>Quaker Oatmeal</t>
  </si>
  <si>
    <t>Raisin Bran</t>
  </si>
  <si>
    <t>Raisin Nut Bran</t>
  </si>
  <si>
    <t>Raisin Squares</t>
  </si>
  <si>
    <t>Rice Chex</t>
  </si>
  <si>
    <t>Rice Krispies</t>
  </si>
  <si>
    <t>Shredded Wheat</t>
  </si>
  <si>
    <t>Shredded Wheat 'n'Bran</t>
  </si>
  <si>
    <t>Shredded Wheat spoon size</t>
  </si>
  <si>
    <t>Smacks</t>
  </si>
  <si>
    <t>Special K</t>
  </si>
  <si>
    <t>Strawberry Fruit Wheats</t>
  </si>
  <si>
    <t>Total Corn Flakes</t>
  </si>
  <si>
    <t>Total Raisin Bran</t>
  </si>
  <si>
    <t>Total Whole Grain</t>
  </si>
  <si>
    <t>Triples</t>
  </si>
  <si>
    <t>Trix</t>
  </si>
  <si>
    <t>Wheat Chex</t>
  </si>
  <si>
    <t>Wheaties</t>
  </si>
  <si>
    <t>Wheaties Honey Gold</t>
  </si>
  <si>
    <t>Name</t>
  </si>
  <si>
    <t>Manufacturer</t>
  </si>
  <si>
    <t>American Home Food Products</t>
  </si>
  <si>
    <t>General Mills</t>
  </si>
  <si>
    <t>Kelloggs</t>
  </si>
  <si>
    <t>Nabisco</t>
  </si>
  <si>
    <t>Post</t>
  </si>
  <si>
    <t>Quaker Oats</t>
  </si>
  <si>
    <t>Ralston Purina</t>
  </si>
  <si>
    <t>Cold</t>
  </si>
  <si>
    <t>Hot</t>
  </si>
  <si>
    <t>Type</t>
  </si>
  <si>
    <t>Calories</t>
  </si>
  <si>
    <t>Protein</t>
  </si>
  <si>
    <t>Fat</t>
  </si>
  <si>
    <t>Sodium</t>
  </si>
  <si>
    <t>Fiber</t>
  </si>
  <si>
    <t>Carbohydrate</t>
  </si>
  <si>
    <t>Sugars</t>
  </si>
  <si>
    <t>Potassium</t>
  </si>
  <si>
    <t>Vitamins</t>
  </si>
  <si>
    <t>Shelf</t>
  </si>
  <si>
    <t>Weight</t>
  </si>
  <si>
    <t>Cups</t>
  </si>
  <si>
    <t>Rating</t>
  </si>
  <si>
    <t xml:space="preserve"> </t>
  </si>
  <si>
    <t>Needs Improvemnt</t>
  </si>
  <si>
    <t>Row Labels</t>
  </si>
  <si>
    <t>Healthy</t>
  </si>
  <si>
    <t>Unhealthy</t>
  </si>
  <si>
    <t>Grand Total</t>
  </si>
  <si>
    <t>Cereal Name</t>
  </si>
  <si>
    <t>Count of Cereal Name</t>
  </si>
  <si>
    <t>Average of Rating</t>
  </si>
  <si>
    <t>High Sugar Flag</t>
  </si>
  <si>
    <t>Low Fiber Flag</t>
  </si>
  <si>
    <t>High Caloris Flag</t>
  </si>
  <si>
    <t>High Sodium Flag</t>
  </si>
  <si>
    <t>Primary Issue</t>
  </si>
  <si>
    <t>High Sodium</t>
  </si>
  <si>
    <t>High Sugar</t>
  </si>
  <si>
    <t>Low Fiber</t>
  </si>
  <si>
    <t>Total Number Of Cereal</t>
  </si>
  <si>
    <t>Number Of Healthy Cereal</t>
  </si>
  <si>
    <t>Number Of Unhealthy Cereal</t>
  </si>
  <si>
    <t>Average Rating</t>
  </si>
  <si>
    <t xml:space="preserve">High Sugar Cereal </t>
  </si>
  <si>
    <t>KPI CARDS</t>
  </si>
  <si>
    <t>Count of Rating</t>
  </si>
  <si>
    <t>High sugar</t>
  </si>
  <si>
    <t>Normal</t>
  </si>
  <si>
    <t>SUGAR VS RATING</t>
  </si>
  <si>
    <t>CEREAL HEALTHNESS</t>
  </si>
  <si>
    <t>TOP TEN RATED CEREALS</t>
  </si>
  <si>
    <t>PRIMARY ISSUE</t>
  </si>
  <si>
    <t>FIBER VS RATING</t>
  </si>
  <si>
    <t>HEALTH SCORE</t>
  </si>
  <si>
    <r>
      <rPr>
        <b/>
        <sz val="24"/>
        <color theme="1"/>
        <rFont val="Calibri"/>
        <family val="2"/>
        <scheme val="minor"/>
      </rPr>
      <t xml:space="preserve">CEREAL HEALTH AND PERFORMANCE </t>
    </r>
    <r>
      <rPr>
        <b/>
        <i/>
        <sz val="24"/>
        <color theme="1"/>
        <rFont val="Calibri"/>
        <family val="2"/>
        <scheme val="minor"/>
      </rPr>
      <t>DASHBOARD</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</si>
</sst>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8"/>
      <color theme="1"/>
      <name val="Calibri"/>
      <family val="2"/>
      <scheme val="minor"/>
    </font>
    <font>
      <sz val="24"/>
      <color theme="1"/>
      <name val="Calibri"/>
      <family val="2"/>
      <scheme val="minor"/>
    </font>
    <font>
      <b/>
      <sz val="24"/>
      <color theme="1"/>
      <name val="Calibri"/>
      <family val="2"/>
      <scheme val="minor"/>
    </font>
    <font>
      <b/>
      <i/>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49" fontId="16" fillId="33" borderId="0" xfId="0" applyNumberFormat="1" applyFont="1" applyFill="1"/>
    <xf numFmtId="2" fontId="16" fillId="33" borderId="0" xfId="0" applyNumberFormat="1" applyFont="1" applyFill="1"/>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 fontId="0" fillId="0" borderId="0" xfId="42" applyNumberFormat="1" applyFont="1"/>
    <xf numFmtId="164" fontId="0" fillId="0" borderId="0" xfId="0" applyNumberFormat="1"/>
    <xf numFmtId="0" fontId="0" fillId="0" borderId="0" xfId="0" applyAlignment="1">
      <alignment horizontal="center"/>
    </xf>
    <xf numFmtId="0" fontId="18" fillId="0" borderId="0" xfId="0" applyFont="1" applyAlignment="1">
      <alignment horizontal="center"/>
    </xf>
    <xf numFmtId="0" fontId="19" fillId="0" borderId="0" xfId="0" applyFont="1" applyAlignment="1">
      <alignment horizontal="center"/>
    </xf>
    <xf numFmtId="0" fontId="21" fillId="0" borderId="0" xfId="0" applyFont="1" applyAlignment="1">
      <alignment horizontal="center"/>
    </xf>
    <xf numFmtId="0" fontId="20"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D0B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[Cereal Dataset.xlsx]Pivot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CEREALS</a:t>
            </a:r>
            <a:r>
              <a:rPr lang="en-US" sz="2400" b="1" baseline="0"/>
              <a:t> HEALTINESS</a:t>
            </a:r>
            <a:endParaRPr lang="en-US" sz="2400" b="1"/>
          </a:p>
        </c:rich>
      </c:tx>
      <c:layout>
        <c:manualLayout>
          <c:xMode val="edge"/>
          <c:yMode val="edge"/>
          <c:x val="0.21274300087489065"/>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pivotFmt>
      <c:pivotFmt>
        <c:idx val="7"/>
        <c:spPr>
          <a:solidFill>
            <a:srgbClr val="FD0B33"/>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rgbClr val="92D050"/>
          </a:solidFill>
          <a:ln w="19050">
            <a:solidFill>
              <a:schemeClr val="lt1"/>
            </a:solidFill>
          </a:ln>
          <a:effectLst/>
        </c:spPr>
      </c:pivotFmt>
      <c:pivotFmt>
        <c:idx val="11"/>
        <c:spPr>
          <a:solidFill>
            <a:srgbClr val="FD0B33"/>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6"/>
          </a:solidFill>
          <a:ln w="19050">
            <a:solidFill>
              <a:schemeClr val="lt1"/>
            </a:solidFill>
          </a:ln>
          <a:effectLst/>
        </c:spPr>
      </c:pivotFmt>
      <c:pivotFmt>
        <c:idx val="15"/>
        <c:spPr>
          <a:solidFill>
            <a:srgbClr val="FD0B33"/>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Table'!$B$2</c:f>
              <c:strCache>
                <c:ptCount val="1"/>
                <c:pt idx="0">
                  <c:v>Total</c:v>
                </c:pt>
              </c:strCache>
            </c:strRef>
          </c:tx>
          <c:dPt>
            <c:idx val="0"/>
            <c:bubble3D val="0"/>
            <c:spPr>
              <a:solidFill>
                <a:schemeClr val="accent6"/>
              </a:solidFill>
              <a:ln w="19050">
                <a:solidFill>
                  <a:schemeClr val="lt1"/>
                </a:solidFill>
              </a:ln>
              <a:effectLst/>
            </c:spPr>
          </c:dPt>
          <c:dPt>
            <c:idx val="1"/>
            <c:bubble3D val="0"/>
            <c:spPr>
              <a:solidFill>
                <a:srgbClr val="FD0B33"/>
              </a:solidFill>
              <a:ln w="19050">
                <a:solidFill>
                  <a:schemeClr val="lt1"/>
                </a:solidFill>
              </a:ln>
              <a:effectLst/>
            </c:spPr>
          </c:dPt>
          <c:dPt>
            <c:idx val="2"/>
            <c:bubble3D val="0"/>
            <c:spPr>
              <a:solidFill>
                <a:schemeClr val="accent3"/>
              </a:solidFill>
              <a:ln w="19050">
                <a:solidFill>
                  <a:schemeClr val="lt1"/>
                </a:solidFill>
              </a:ln>
              <a:effectLst/>
            </c:spPr>
          </c:dPt>
          <c:cat>
            <c:strRef>
              <c:f>'Pivot Table'!$A$3:$A$5</c:f>
              <c:strCache>
                <c:ptCount val="2"/>
                <c:pt idx="0">
                  <c:v>Healthy</c:v>
                </c:pt>
                <c:pt idx="1">
                  <c:v>Unhealthy</c:v>
                </c:pt>
              </c:strCache>
            </c:strRef>
          </c:cat>
          <c:val>
            <c:numRef>
              <c:f>'Pivot Table'!$B$3:$B$5</c:f>
              <c:numCache>
                <c:formatCode>General</c:formatCode>
                <c:ptCount val="2"/>
                <c:pt idx="0">
                  <c:v>9</c:v>
                </c:pt>
                <c:pt idx="1">
                  <c:v>66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[Cereal Dataset.xlsx]Pivot Table!PivotTable7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TOP</a:t>
            </a:r>
            <a:r>
              <a:rPr lang="en-US" sz="2400" b="1" baseline="0"/>
              <a:t> TEN RATED CEREALS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Table'!$F$2</c:f>
              <c:strCache>
                <c:ptCount val="1"/>
                <c:pt idx="0">
                  <c:v>Total</c:v>
                </c:pt>
              </c:strCache>
            </c:strRef>
          </c:tx>
          <c:spPr>
            <a:solidFill>
              <a:schemeClr val="accent1"/>
            </a:solidFill>
            <a:ln>
              <a:noFill/>
            </a:ln>
            <a:effectLst/>
          </c:spPr>
          <c:invertIfNegative val="0"/>
          <c:cat>
            <c:strRef>
              <c:f>'Pivot Table'!$E$3:$E$13</c:f>
              <c:strCache>
                <c:ptCount val="10"/>
                <c:pt idx="0">
                  <c:v>100% Bran</c:v>
                </c:pt>
                <c:pt idx="1">
                  <c:v>All-Bran</c:v>
                </c:pt>
                <c:pt idx="2">
                  <c:v>Cream of Wheat (Quick)</c:v>
                </c:pt>
                <c:pt idx="3">
                  <c:v>Frosted Mini-Wheats</c:v>
                </c:pt>
                <c:pt idx="4">
                  <c:v>Nutri-grain Wheat</c:v>
                </c:pt>
                <c:pt idx="5">
                  <c:v>Puffed Rice</c:v>
                </c:pt>
                <c:pt idx="6">
                  <c:v>Puffed Wheat</c:v>
                </c:pt>
                <c:pt idx="7">
                  <c:v>Shredded Wheat</c:v>
                </c:pt>
                <c:pt idx="8">
                  <c:v>Shredded Wheat spoon size</c:v>
                </c:pt>
                <c:pt idx="9">
                  <c:v>Strawberry Fruit Wheats</c:v>
                </c:pt>
              </c:strCache>
            </c:strRef>
          </c:cat>
          <c:val>
            <c:numRef>
              <c:f>'Pivot Table'!$F$3:$F$13</c:f>
              <c:numCache>
                <c:formatCode>General</c:formatCode>
                <c:ptCount val="10"/>
                <c:pt idx="0">
                  <c:v>68.402973000000003</c:v>
                </c:pt>
                <c:pt idx="1">
                  <c:v>59.425505000000001</c:v>
                </c:pt>
                <c:pt idx="2">
                  <c:v>64.533816000000002</c:v>
                </c:pt>
                <c:pt idx="3">
                  <c:v>58.345140999999998</c:v>
                </c:pt>
                <c:pt idx="4">
                  <c:v>59.642837</c:v>
                </c:pt>
                <c:pt idx="5">
                  <c:v>60.756112000000002</c:v>
                </c:pt>
                <c:pt idx="6">
                  <c:v>63.005645000000001</c:v>
                </c:pt>
                <c:pt idx="7">
                  <c:v>68.235884999999996</c:v>
                </c:pt>
                <c:pt idx="8">
                  <c:v>72.801787000000004</c:v>
                </c:pt>
                <c:pt idx="9">
                  <c:v>59.363993000000001</c:v>
                </c:pt>
              </c:numCache>
            </c:numRef>
          </c:val>
        </c:ser>
        <c:dLbls>
          <c:showLegendKey val="0"/>
          <c:showVal val="0"/>
          <c:showCatName val="0"/>
          <c:showSerName val="0"/>
          <c:showPercent val="0"/>
          <c:showBubbleSize val="0"/>
        </c:dLbls>
        <c:gapWidth val="219"/>
        <c:overlap val="-27"/>
        <c:axId val="338484840"/>
        <c:axId val="338489544"/>
      </c:barChart>
      <c:catAx>
        <c:axId val="338484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89544"/>
        <c:crosses val="autoZero"/>
        <c:auto val="1"/>
        <c:lblAlgn val="ctr"/>
        <c:lblOffset val="100"/>
        <c:noMultiLvlLbl val="0"/>
      </c:catAx>
      <c:valAx>
        <c:axId val="338489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84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[Cereal Dataset.xlsx]Pivot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PRIMARY</a:t>
            </a:r>
            <a:r>
              <a:rPr lang="en-US" sz="2000" b="1" baseline="0"/>
              <a:t> ISSUE</a:t>
            </a:r>
            <a:endParaRPr lang="en-US" sz="20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Table'!$B$10</c:f>
              <c:strCache>
                <c:ptCount val="1"/>
                <c:pt idx="0">
                  <c:v>Total</c:v>
                </c:pt>
              </c:strCache>
            </c:strRef>
          </c:tx>
          <c:spPr>
            <a:solidFill>
              <a:schemeClr val="accent1"/>
            </a:solidFill>
            <a:ln>
              <a:noFill/>
            </a:ln>
            <a:effectLst/>
          </c:spPr>
          <c:invertIfNegative val="0"/>
          <c:cat>
            <c:strRef>
              <c:f>'Pivot Table'!$A$11:$A$14</c:f>
              <c:strCache>
                <c:ptCount val="3"/>
                <c:pt idx="0">
                  <c:v>High Sodium</c:v>
                </c:pt>
                <c:pt idx="1">
                  <c:v>High Sugar</c:v>
                </c:pt>
                <c:pt idx="2">
                  <c:v>Low Fiber</c:v>
                </c:pt>
              </c:strCache>
            </c:strRef>
          </c:cat>
          <c:val>
            <c:numRef>
              <c:f>'Pivot Table'!$B$11:$B$14</c:f>
              <c:numCache>
                <c:formatCode>General</c:formatCode>
                <c:ptCount val="3"/>
                <c:pt idx="0">
                  <c:v>2</c:v>
                </c:pt>
                <c:pt idx="1">
                  <c:v>46</c:v>
                </c:pt>
                <c:pt idx="2">
                  <c:v>27</c:v>
                </c:pt>
              </c:numCache>
            </c:numRef>
          </c:val>
        </c:ser>
        <c:dLbls>
          <c:showLegendKey val="0"/>
          <c:showVal val="0"/>
          <c:showCatName val="0"/>
          <c:showSerName val="0"/>
          <c:showPercent val="0"/>
          <c:showBubbleSize val="0"/>
        </c:dLbls>
        <c:gapWidth val="219"/>
        <c:overlap val="-27"/>
        <c:axId val="338484056"/>
        <c:axId val="338485624"/>
      </c:barChart>
      <c:catAx>
        <c:axId val="338484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85624"/>
        <c:crosses val="autoZero"/>
        <c:auto val="1"/>
        <c:lblAlgn val="ctr"/>
        <c:lblOffset val="100"/>
        <c:noMultiLvlLbl val="0"/>
      </c:catAx>
      <c:valAx>
        <c:axId val="338485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84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40" b="0" i="0" u="none" strike="noStrike" kern="1200" cap="none" spc="20" baseline="0">
                <a:solidFill>
                  <a:schemeClr val="dk1">
                    <a:lumMod val="50000"/>
                    <a:lumOff val="50000"/>
                  </a:schemeClr>
                </a:solidFill>
                <a:latin typeface="+mn-lt"/>
                <a:ea typeface="+mn-ea"/>
                <a:cs typeface="+mn-cs"/>
              </a:defRPr>
            </a:pPr>
            <a:r>
              <a:rPr lang="en-US"/>
              <a:t>SUGAR VS RATING</a:t>
            </a:r>
          </a:p>
        </c:rich>
      </c:tx>
      <c:layout/>
      <c:overlay val="0"/>
      <c:spPr>
        <a:noFill/>
        <a:ln>
          <a:noFill/>
        </a:ln>
        <a:effectLst/>
      </c:spPr>
      <c:txPr>
        <a:bodyPr rot="0" spcFirstLastPara="1" vertOverflow="ellipsis" vert="horz" wrap="square" anchor="ctr" anchorCtr="1"/>
        <a:lstStyle/>
        <a:p>
          <a:pPr>
            <a:defRPr sz="84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12537038752508878"/>
          <c:y val="0.11381663373695489"/>
          <c:w val="0.85036817456641445"/>
          <c:h val="0.6830892378678558"/>
        </c:manualLayout>
      </c:layout>
      <c:scatterChart>
        <c:scatterStyle val="lineMarker"/>
        <c:varyColors val="0"/>
        <c:ser>
          <c:idx val="0"/>
          <c:order val="0"/>
          <c:tx>
            <c:strRef>
              <c:f>'Pivot Table'!$H$17</c:f>
              <c:strCache>
                <c:ptCount val="1"/>
              </c:strCache>
            </c:strRef>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s>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rnd">
                      <a:solidFill>
                        <a:schemeClr val="dk1">
                          <a:lumMod val="35000"/>
                          <a:lumOff val="65000"/>
                        </a:schemeClr>
                      </a:solidFill>
                      <a:round/>
                    </a:ln>
                    <a:effectLst/>
                  </c:spPr>
                </c15:leaderLines>
              </c:ext>
            </c:extLst>
          </c:dLbls>
          <c:errBars>
            <c:errDir val="x"/>
            <c:errBarType val="both"/>
            <c:errValType val="stdErr"/>
            <c:noEndCap val="0"/>
            <c:spPr>
              <a:noFill/>
              <a:ln w="9525" cap="rnd">
                <a:solidFill>
                  <a:schemeClr val="dk1">
                    <a:lumMod val="65000"/>
                    <a:lumOff val="35000"/>
                  </a:schemeClr>
                </a:solidFill>
                <a:round/>
              </a:ln>
              <a:effectLst/>
            </c:spPr>
          </c:errBars>
          <c:errBars>
            <c:errDir val="y"/>
            <c:errBarType val="both"/>
            <c:errValType val="stdErr"/>
            <c:noEndCap val="0"/>
            <c:spPr>
              <a:noFill/>
              <a:ln w="9525" cap="rnd">
                <a:solidFill>
                  <a:schemeClr val="dk1">
                    <a:lumMod val="65000"/>
                    <a:lumOff val="35000"/>
                  </a:schemeClr>
                </a:solidFill>
                <a:round/>
              </a:ln>
              <a:effectLst/>
            </c:spPr>
          </c:errBars>
          <c:yVal>
            <c:numRef>
              <c:f>'Pivot Table'!$H$18</c:f>
              <c:numCache>
                <c:formatCode>General</c:formatCode>
                <c:ptCount val="1"/>
              </c:numCache>
            </c:numRef>
          </c:yVal>
          <c:smooth val="0"/>
        </c:ser>
        <c:ser>
          <c:idx val="1"/>
          <c:order val="1"/>
          <c:tx>
            <c:strRef>
              <c:f>'Pivot Table'!$A$19:$B$19</c:f>
              <c:strCache>
                <c:ptCount val="1"/>
                <c:pt idx="0">
                  <c:v>SUGAR VS RATING</c:v>
                </c:pt>
              </c:strCache>
            </c:strRef>
          </c:tx>
          <c:spPr>
            <a:ln w="25400" cap="flat" cmpd="sng" algn="ctr">
              <a:noFill/>
              <a:prstDash val="sysDot"/>
              <a:round/>
            </a:ln>
            <a:effectLst/>
          </c:spPr>
          <c:marker>
            <c:symbol val="circle"/>
            <c:size val="5"/>
            <c:spPr>
              <a:solidFill>
                <a:srgbClr val="FD0B33"/>
              </a:solidFill>
              <a:ln w="9525" cap="flat" cmpd="sng" algn="ctr">
                <a:solidFill>
                  <a:schemeClr val="accent2">
                    <a:shade val="95000"/>
                  </a:schemeClr>
                </a:solidFill>
                <a:round/>
              </a:ln>
              <a:effectLst/>
            </c:spPr>
          </c:marker>
          <c:dPt>
            <c:idx val="1"/>
            <c:marker>
              <c:symbol val="circle"/>
              <c:size val="5"/>
              <c:spPr>
                <a:solidFill>
                  <a:schemeClr val="accent6"/>
                </a:solidFill>
                <a:ln w="9525" cap="flat" cmpd="sng" algn="ctr">
                  <a:solidFill>
                    <a:schemeClr val="accent2">
                      <a:shade val="95000"/>
                    </a:schemeClr>
                  </a:solidFill>
                  <a:round/>
                </a:ln>
                <a:effectLst/>
              </c:spPr>
            </c:marker>
            <c:bubble3D val="0"/>
          </c:dPt>
          <c:dLbls>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rnd">
                      <a:solidFill>
                        <a:schemeClr val="dk1">
                          <a:lumMod val="35000"/>
                          <a:lumOff val="65000"/>
                        </a:schemeClr>
                      </a:solidFill>
                      <a:round/>
                    </a:ln>
                    <a:effectLst/>
                  </c:spPr>
                </c15:leaderLines>
              </c:ext>
            </c:extLst>
          </c:dLbls>
          <c:errBars>
            <c:errDir val="x"/>
            <c:errBarType val="both"/>
            <c:errValType val="stdErr"/>
            <c:noEndCap val="0"/>
            <c:spPr>
              <a:noFill/>
              <a:ln w="9525" cap="rnd">
                <a:solidFill>
                  <a:schemeClr val="dk1">
                    <a:lumMod val="65000"/>
                    <a:lumOff val="35000"/>
                  </a:schemeClr>
                </a:solidFill>
                <a:round/>
              </a:ln>
              <a:effectLst/>
            </c:spPr>
          </c:errBars>
          <c:errBars>
            <c:errDir val="y"/>
            <c:errBarType val="both"/>
            <c:errValType val="stdErr"/>
            <c:noEndCap val="0"/>
            <c:spPr>
              <a:noFill/>
              <a:ln w="9525" cap="rnd">
                <a:solidFill>
                  <a:schemeClr val="dk1">
                    <a:lumMod val="65000"/>
                    <a:lumOff val="35000"/>
                  </a:schemeClr>
                </a:solidFill>
                <a:round/>
              </a:ln>
              <a:effectLst/>
            </c:spPr>
          </c:errBars>
          <c:xVal>
            <c:strRef>
              <c:f>'Pivot Table'!$A$21:$A$22</c:f>
              <c:strCache>
                <c:ptCount val="2"/>
                <c:pt idx="0">
                  <c:v>High sugar</c:v>
                </c:pt>
                <c:pt idx="1">
                  <c:v>Normal</c:v>
                </c:pt>
              </c:strCache>
            </c:strRef>
          </c:xVal>
          <c:yVal>
            <c:numRef>
              <c:f>'Pivot Table'!$B$21:$B$22</c:f>
              <c:numCache>
                <c:formatCode>General</c:formatCode>
                <c:ptCount val="2"/>
                <c:pt idx="0">
                  <c:v>46</c:v>
                </c:pt>
                <c:pt idx="1">
                  <c:v>29</c:v>
                </c:pt>
              </c:numCache>
            </c:numRef>
          </c:yVal>
          <c:smooth val="0"/>
        </c:ser>
        <c:dLbls>
          <c:dLblPos val="t"/>
          <c:showLegendKey val="0"/>
          <c:showVal val="1"/>
          <c:showCatName val="0"/>
          <c:showSerName val="0"/>
          <c:showPercent val="0"/>
          <c:showBubbleSize val="0"/>
        </c:dLbls>
        <c:axId val="624966736"/>
        <c:axId val="630290392"/>
      </c:scatterChart>
      <c:valAx>
        <c:axId val="624966736"/>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r>
                  <a:rPr lang="en-US"/>
                  <a:t>RATING</a:t>
                </a:r>
              </a:p>
            </c:rich>
          </c:tx>
          <c:layout>
            <c:manualLayout>
              <c:xMode val="edge"/>
              <c:yMode val="edge"/>
              <c:x val="0.49468519376254438"/>
              <c:y val="0.8527501846633159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title>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700" b="0" i="0" u="none" strike="noStrike" kern="1200" spc="0" baseline="0">
                <a:solidFill>
                  <a:schemeClr val="dk1">
                    <a:lumMod val="65000"/>
                    <a:lumOff val="35000"/>
                  </a:schemeClr>
                </a:solidFill>
                <a:latin typeface="+mn-lt"/>
                <a:ea typeface="+mn-ea"/>
                <a:cs typeface="+mn-cs"/>
              </a:defRPr>
            </a:pPr>
            <a:endParaRPr lang="en-US"/>
          </a:p>
        </c:txPr>
        <c:crossAx val="630290392"/>
        <c:crosses val="autoZero"/>
        <c:crossBetween val="midCat"/>
      </c:valAx>
      <c:valAx>
        <c:axId val="63029039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r>
                  <a:rPr lang="en-US"/>
                  <a:t>SUGAR FLAG</a:t>
                </a:r>
              </a:p>
            </c:rich>
          </c:tx>
          <c:layout/>
          <c:overlay val="0"/>
          <c:spPr>
            <a:noFill/>
            <a:ln>
              <a:noFill/>
            </a:ln>
            <a:effectLst/>
          </c:spPr>
          <c:txPr>
            <a:bodyPr rot="-540000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700" b="0" i="0" u="none" strike="noStrike" kern="1200" spc="0" baseline="0">
                <a:solidFill>
                  <a:schemeClr val="dk1">
                    <a:lumMod val="65000"/>
                    <a:lumOff val="35000"/>
                  </a:schemeClr>
                </a:solidFill>
                <a:latin typeface="+mn-lt"/>
                <a:ea typeface="+mn-ea"/>
                <a:cs typeface="+mn-cs"/>
              </a:defRPr>
            </a:pPr>
            <a:endParaRPr lang="en-US"/>
          </a:p>
        </c:txPr>
        <c:crossAx val="624966736"/>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sz="700"/>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3</xdr:col>
      <xdr:colOff>424825</xdr:colOff>
      <xdr:row>7</xdr:row>
      <xdr:rowOff>15945</xdr:rowOff>
    </xdr:to>
    <xdr:sp macro="" textlink="">
      <xdr:nvSpPr>
        <xdr:cNvPr id="2" name="Rectangle 1"/>
        <xdr:cNvSpPr/>
      </xdr:nvSpPr>
      <xdr:spPr>
        <a:xfrm>
          <a:off x="609600" y="381000"/>
          <a:ext cx="1644025" cy="587445"/>
        </a:xfrm>
        <a:prstGeom prst="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TOTAL CEREALS</a:t>
          </a:r>
        </a:p>
      </xdr:txBody>
    </xdr:sp>
    <xdr:clientData/>
  </xdr:twoCellAnchor>
  <xdr:twoCellAnchor>
    <xdr:from>
      <xdr:col>4</xdr:col>
      <xdr:colOff>9525</xdr:colOff>
      <xdr:row>4</xdr:row>
      <xdr:rowOff>0</xdr:rowOff>
    </xdr:from>
    <xdr:to>
      <xdr:col>7</xdr:col>
      <xdr:colOff>0</xdr:colOff>
      <xdr:row>7</xdr:row>
      <xdr:rowOff>0</xdr:rowOff>
    </xdr:to>
    <xdr:sp macro="" textlink="">
      <xdr:nvSpPr>
        <xdr:cNvPr id="6" name="Rectangle 5"/>
        <xdr:cNvSpPr/>
      </xdr:nvSpPr>
      <xdr:spPr>
        <a:xfrm>
          <a:off x="2447925" y="381000"/>
          <a:ext cx="1819275" cy="571500"/>
        </a:xfrm>
        <a:prstGeom prst="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HEALTHY CEREALS</a:t>
          </a:r>
        </a:p>
      </xdr:txBody>
    </xdr:sp>
    <xdr:clientData/>
  </xdr:twoCellAnchor>
  <xdr:twoCellAnchor>
    <xdr:from>
      <xdr:col>7</xdr:col>
      <xdr:colOff>190500</xdr:colOff>
      <xdr:row>3</xdr:row>
      <xdr:rowOff>171450</xdr:rowOff>
    </xdr:from>
    <xdr:to>
      <xdr:col>10</xdr:col>
      <xdr:colOff>477963</xdr:colOff>
      <xdr:row>6</xdr:row>
      <xdr:rowOff>187396</xdr:rowOff>
    </xdr:to>
    <xdr:sp macro="" textlink="">
      <xdr:nvSpPr>
        <xdr:cNvPr id="7" name="Rectangle 6"/>
        <xdr:cNvSpPr/>
      </xdr:nvSpPr>
      <xdr:spPr>
        <a:xfrm>
          <a:off x="4457700" y="361950"/>
          <a:ext cx="2116263" cy="58744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UNHEALTHY CEREALS</a:t>
          </a:r>
        </a:p>
      </xdr:txBody>
    </xdr:sp>
    <xdr:clientData/>
  </xdr:twoCellAnchor>
  <xdr:twoCellAnchor>
    <xdr:from>
      <xdr:col>11</xdr:col>
      <xdr:colOff>95250</xdr:colOff>
      <xdr:row>3</xdr:row>
      <xdr:rowOff>171450</xdr:rowOff>
    </xdr:from>
    <xdr:to>
      <xdr:col>15</xdr:col>
      <xdr:colOff>346364</xdr:colOff>
      <xdr:row>7</xdr:row>
      <xdr:rowOff>1780</xdr:rowOff>
    </xdr:to>
    <xdr:sp macro="" textlink="">
      <xdr:nvSpPr>
        <xdr:cNvPr id="9" name="Rectangle 8"/>
        <xdr:cNvSpPr/>
      </xdr:nvSpPr>
      <xdr:spPr>
        <a:xfrm>
          <a:off x="6762750" y="569768"/>
          <a:ext cx="2675659" cy="592330"/>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CEREALS</a:t>
          </a:r>
          <a:r>
            <a:rPr lang="en-US" sz="1600" b="1" baseline="0"/>
            <a:t> WITH HIGH SUGAR</a:t>
          </a:r>
          <a:endParaRPr lang="en-US" sz="1600" b="1"/>
        </a:p>
      </xdr:txBody>
    </xdr:sp>
    <xdr:clientData/>
  </xdr:twoCellAnchor>
  <xdr:twoCellAnchor>
    <xdr:from>
      <xdr:col>15</xdr:col>
      <xdr:colOff>586219</xdr:colOff>
      <xdr:row>4</xdr:row>
      <xdr:rowOff>0</xdr:rowOff>
    </xdr:from>
    <xdr:to>
      <xdr:col>20</xdr:col>
      <xdr:colOff>173181</xdr:colOff>
      <xdr:row>7</xdr:row>
      <xdr:rowOff>20830</xdr:rowOff>
    </xdr:to>
    <xdr:sp macro="" textlink="">
      <xdr:nvSpPr>
        <xdr:cNvPr id="12" name="Rectangle 11"/>
        <xdr:cNvSpPr/>
      </xdr:nvSpPr>
      <xdr:spPr>
        <a:xfrm>
          <a:off x="9678264" y="588818"/>
          <a:ext cx="2617644" cy="592330"/>
        </a:xfrm>
        <a:prstGeom prst="rect">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AVERAGE</a:t>
          </a:r>
          <a:r>
            <a:rPr lang="en-US" sz="1600" b="1" baseline="0"/>
            <a:t> RATING (INDEX)</a:t>
          </a:r>
          <a:endParaRPr lang="en-US" sz="1600" b="1"/>
        </a:p>
      </xdr:txBody>
    </xdr:sp>
    <xdr:clientData/>
  </xdr:twoCellAnchor>
  <xdr:twoCellAnchor>
    <xdr:from>
      <xdr:col>1</xdr:col>
      <xdr:colOff>409575</xdr:colOff>
      <xdr:row>5</xdr:row>
      <xdr:rowOff>19050</xdr:rowOff>
    </xdr:from>
    <xdr:to>
      <xdr:col>3</xdr:col>
      <xdr:colOff>476250</xdr:colOff>
      <xdr:row>7</xdr:row>
      <xdr:rowOff>133350</xdr:rowOff>
    </xdr:to>
    <xdr:sp macro="" textlink="'KPI Summary'!B2">
      <xdr:nvSpPr>
        <xdr:cNvPr id="14" name="TextBox 13"/>
        <xdr:cNvSpPr txBox="1"/>
      </xdr:nvSpPr>
      <xdr:spPr>
        <a:xfrm>
          <a:off x="1019175" y="590550"/>
          <a:ext cx="128587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B68CC8-5DD0-4DF5-8D33-A725F435621B}" type="TxLink">
            <a:rPr lang="en-US" sz="2400" b="0" i="0" u="none" strike="noStrike">
              <a:solidFill>
                <a:schemeClr val="bg1"/>
              </a:solidFill>
              <a:latin typeface="Calibri"/>
              <a:cs typeface="Calibri"/>
            </a:rPr>
            <a:pPr/>
            <a:t>77</a:t>
          </a:fld>
          <a:endParaRPr lang="en-US" sz="2400">
            <a:solidFill>
              <a:schemeClr val="bg1"/>
            </a:solidFill>
          </a:endParaRPr>
        </a:p>
      </xdr:txBody>
    </xdr:sp>
    <xdr:clientData/>
  </xdr:twoCellAnchor>
  <xdr:twoCellAnchor>
    <xdr:from>
      <xdr:col>5</xdr:col>
      <xdr:colOff>66675</xdr:colOff>
      <xdr:row>4</xdr:row>
      <xdr:rowOff>171450</xdr:rowOff>
    </xdr:from>
    <xdr:to>
      <xdr:col>6</xdr:col>
      <xdr:colOff>438150</xdr:colOff>
      <xdr:row>7</xdr:row>
      <xdr:rowOff>104775</xdr:rowOff>
    </xdr:to>
    <xdr:sp macro="" textlink="'KPI Summary'!B3">
      <xdr:nvSpPr>
        <xdr:cNvPr id="15" name="TextBox 14"/>
        <xdr:cNvSpPr txBox="1"/>
      </xdr:nvSpPr>
      <xdr:spPr>
        <a:xfrm>
          <a:off x="3114675" y="552450"/>
          <a:ext cx="9810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335DB2-3261-4248-B213-F0B476AFD1BF}" type="TxLink">
            <a:rPr lang="en-US" sz="2400" b="0" i="0" u="none" strike="noStrike">
              <a:solidFill>
                <a:schemeClr val="bg1"/>
              </a:solidFill>
              <a:latin typeface="Calibri"/>
              <a:cs typeface="Calibri"/>
            </a:rPr>
            <a:pPr/>
            <a:t>11</a:t>
          </a:fld>
          <a:endParaRPr lang="en-US" sz="2400">
            <a:solidFill>
              <a:schemeClr val="bg1"/>
            </a:solidFill>
          </a:endParaRPr>
        </a:p>
      </xdr:txBody>
    </xdr:sp>
    <xdr:clientData/>
  </xdr:twoCellAnchor>
  <xdr:twoCellAnchor>
    <xdr:from>
      <xdr:col>8</xdr:col>
      <xdr:colOff>381000</xdr:colOff>
      <xdr:row>4</xdr:row>
      <xdr:rowOff>180975</xdr:rowOff>
    </xdr:from>
    <xdr:to>
      <xdr:col>10</xdr:col>
      <xdr:colOff>400050</xdr:colOff>
      <xdr:row>6</xdr:row>
      <xdr:rowOff>142875</xdr:rowOff>
    </xdr:to>
    <xdr:sp macro="" textlink="'KPI Summary'!B4">
      <xdr:nvSpPr>
        <xdr:cNvPr id="16" name="TextBox 15"/>
        <xdr:cNvSpPr txBox="1"/>
      </xdr:nvSpPr>
      <xdr:spPr>
        <a:xfrm>
          <a:off x="5257800" y="561975"/>
          <a:ext cx="12382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231465-C778-4F7F-B31B-90F27C94EE29}" type="TxLink">
            <a:rPr lang="en-US" sz="2400" b="0" i="0" u="none" strike="noStrike">
              <a:solidFill>
                <a:schemeClr val="bg1"/>
              </a:solidFill>
              <a:latin typeface="Calibri"/>
              <a:cs typeface="Calibri"/>
            </a:rPr>
            <a:pPr/>
            <a:t>66</a:t>
          </a:fld>
          <a:endParaRPr lang="en-US" sz="2400">
            <a:solidFill>
              <a:schemeClr val="bg1"/>
            </a:solidFill>
          </a:endParaRPr>
        </a:p>
      </xdr:txBody>
    </xdr:sp>
    <xdr:clientData/>
  </xdr:twoCellAnchor>
  <xdr:twoCellAnchor>
    <xdr:from>
      <xdr:col>13</xdr:col>
      <xdr:colOff>123825</xdr:colOff>
      <xdr:row>5</xdr:row>
      <xdr:rowOff>0</xdr:rowOff>
    </xdr:from>
    <xdr:to>
      <xdr:col>14</xdr:col>
      <xdr:colOff>438151</xdr:colOff>
      <xdr:row>7</xdr:row>
      <xdr:rowOff>114300</xdr:rowOff>
    </xdr:to>
    <xdr:sp macro="" textlink="'KPI Summary'!B6">
      <xdr:nvSpPr>
        <xdr:cNvPr id="17" name="TextBox 16"/>
        <xdr:cNvSpPr txBox="1"/>
      </xdr:nvSpPr>
      <xdr:spPr>
        <a:xfrm>
          <a:off x="8003598" y="779318"/>
          <a:ext cx="920462"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E16605-3BF9-4B3C-BE5D-790961C0601A}" type="TxLink">
            <a:rPr lang="en-US" sz="2400" b="0" i="0" u="none" strike="noStrike">
              <a:solidFill>
                <a:schemeClr val="bg1"/>
              </a:solidFill>
              <a:latin typeface="Calibri"/>
              <a:cs typeface="Calibri"/>
            </a:rPr>
            <a:pPr/>
            <a:t>46</a:t>
          </a:fld>
          <a:endParaRPr lang="en-US" sz="2400">
            <a:solidFill>
              <a:schemeClr val="bg1"/>
            </a:solidFill>
          </a:endParaRPr>
        </a:p>
      </xdr:txBody>
    </xdr:sp>
    <xdr:clientData/>
  </xdr:twoCellAnchor>
  <xdr:twoCellAnchor>
    <xdr:from>
      <xdr:col>17</xdr:col>
      <xdr:colOff>330777</xdr:colOff>
      <xdr:row>5</xdr:row>
      <xdr:rowOff>11256</xdr:rowOff>
    </xdr:from>
    <xdr:to>
      <xdr:col>19</xdr:col>
      <xdr:colOff>226002</xdr:colOff>
      <xdr:row>7</xdr:row>
      <xdr:rowOff>1731</xdr:rowOff>
    </xdr:to>
    <xdr:sp macro="" textlink="'KPI Summary'!B5">
      <xdr:nvSpPr>
        <xdr:cNvPr id="18" name="TextBox 17"/>
        <xdr:cNvSpPr txBox="1"/>
      </xdr:nvSpPr>
      <xdr:spPr>
        <a:xfrm>
          <a:off x="10635095" y="790574"/>
          <a:ext cx="110749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A288DB-D7F3-415A-82A6-D6A8B2EF6434}" type="TxLink">
            <a:rPr lang="en-US" sz="2400" b="0" i="0" u="none" strike="noStrike">
              <a:solidFill>
                <a:schemeClr val="bg1"/>
              </a:solidFill>
              <a:latin typeface="Calibri"/>
              <a:cs typeface="Calibri"/>
            </a:rPr>
            <a:pPr/>
            <a:t>42.7</a:t>
          </a:fld>
          <a:endParaRPr lang="en-US" sz="2400">
            <a:solidFill>
              <a:schemeClr val="bg1"/>
            </a:solidFill>
          </a:endParaRPr>
        </a:p>
      </xdr:txBody>
    </xdr:sp>
    <xdr:clientData/>
  </xdr:twoCellAnchor>
  <xdr:twoCellAnchor>
    <xdr:from>
      <xdr:col>0</xdr:col>
      <xdr:colOff>600075</xdr:colOff>
      <xdr:row>8</xdr:row>
      <xdr:rowOff>9524</xdr:rowOff>
    </xdr:from>
    <xdr:to>
      <xdr:col>9</xdr:col>
      <xdr:colOff>69273</xdr:colOff>
      <xdr:row>22</xdr:row>
      <xdr:rowOff>190499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300471</xdr:colOff>
      <xdr:row>7</xdr:row>
      <xdr:rowOff>180975</xdr:rowOff>
    </xdr:from>
    <xdr:to>
      <xdr:col>17</xdr:col>
      <xdr:colOff>103909</xdr:colOff>
      <xdr:row>22</xdr:row>
      <xdr:rowOff>180975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600075</xdr:colOff>
      <xdr:row>24</xdr:row>
      <xdr:rowOff>19049</xdr:rowOff>
    </xdr:from>
    <xdr:to>
      <xdr:col>9</xdr:col>
      <xdr:colOff>121228</xdr:colOff>
      <xdr:row>45</xdr:row>
      <xdr:rowOff>103908</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174913</xdr:colOff>
      <xdr:row>7</xdr:row>
      <xdr:rowOff>173182</xdr:rowOff>
    </xdr:from>
    <xdr:to>
      <xdr:col>20</xdr:col>
      <xdr:colOff>174913</xdr:colOff>
      <xdr:row>21</xdr:row>
      <xdr:rowOff>30306</xdr:rowOff>
    </xdr:to>
    <mc:AlternateContent xmlns:mc="http://schemas.openxmlformats.org/markup-compatibility/2006">
      <mc:Choice xmlns:a14="http://schemas.microsoft.com/office/drawing/2010/main" Requires="a14">
        <xdr:graphicFrame macro="">
          <xdr:nvGraphicFramePr>
            <xdr:cNvPr id="29" name="Manufacture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dr:sp macro="" textlink="">
          <xdr:nvSpPr>
            <xdr:cNvPr id="0" name=""/>
            <xdr:cNvSpPr>
              <a:spLocks noTextEdit="1"/>
            </xdr:cNvSpPr>
          </xdr:nvSpPr>
          <xdr:spPr>
            <a:xfrm>
              <a:off x="10383228" y="1684758"/>
              <a:ext cx="1801468" cy="24661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247650</xdr:colOff>
      <xdr:row>30</xdr:row>
      <xdr:rowOff>32905</xdr:rowOff>
    </xdr:from>
    <xdr:to>
      <xdr:col>20</xdr:col>
      <xdr:colOff>247650</xdr:colOff>
      <xdr:row>45</xdr:row>
      <xdr:rowOff>86590</xdr:rowOff>
    </xdr:to>
    <mc:AlternateContent xmlns:mc="http://schemas.openxmlformats.org/markup-compatibility/2006">
      <mc:Choice xmlns:a14="http://schemas.microsoft.com/office/drawing/2010/main" Requires="a14">
        <xdr:graphicFrame macro="">
          <xdr:nvGraphicFramePr>
            <xdr:cNvPr id="30" name="Health Score"/>
            <xdr:cNvGraphicFramePr/>
          </xdr:nvGraphicFramePr>
          <xdr:xfrm>
            <a:off x="0" y="0"/>
            <a:ext cx="0" cy="0"/>
          </xdr:xfrm>
          <a:graphic>
            <a:graphicData uri="http://schemas.microsoft.com/office/drawing/2010/slicer">
              <sle:slicer xmlns:sle="http://schemas.microsoft.com/office/drawing/2010/slicer" name="Health Score"/>
            </a:graphicData>
          </a:graphic>
        </xdr:graphicFrame>
      </mc:Choice>
      <mc:Fallback>
        <xdr:sp macro="" textlink="">
          <xdr:nvSpPr>
            <xdr:cNvPr id="0" name=""/>
            <xdr:cNvSpPr>
              <a:spLocks noTextEdit="1"/>
            </xdr:cNvSpPr>
          </xdr:nvSpPr>
          <xdr:spPr>
            <a:xfrm>
              <a:off x="10455965" y="5830731"/>
              <a:ext cx="1801468" cy="2849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176646</xdr:colOff>
      <xdr:row>21</xdr:row>
      <xdr:rowOff>134216</xdr:rowOff>
    </xdr:from>
    <xdr:to>
      <xdr:col>20</xdr:col>
      <xdr:colOff>176646</xdr:colOff>
      <xdr:row>29</xdr:row>
      <xdr:rowOff>48491</xdr:rowOff>
    </xdr:to>
    <mc:AlternateContent xmlns:mc="http://schemas.openxmlformats.org/markup-compatibility/2006">
      <mc:Choice xmlns:a14="http://schemas.microsoft.com/office/drawing/2010/main" Requires="a14">
        <xdr:graphicFrame macro="">
          <xdr:nvGraphicFramePr>
            <xdr:cNvPr id="31" name="Primary Issue"/>
            <xdr:cNvGraphicFramePr/>
          </xdr:nvGraphicFramePr>
          <xdr:xfrm>
            <a:off x="0" y="0"/>
            <a:ext cx="0" cy="0"/>
          </xdr:xfrm>
          <a:graphic>
            <a:graphicData uri="http://schemas.microsoft.com/office/drawing/2010/slicer">
              <sle:slicer xmlns:sle="http://schemas.microsoft.com/office/drawing/2010/slicer" name="Primary Issue"/>
            </a:graphicData>
          </a:graphic>
        </xdr:graphicFrame>
      </mc:Choice>
      <mc:Fallback>
        <xdr:sp macro="" textlink="">
          <xdr:nvSpPr>
            <xdr:cNvPr id="0" name=""/>
            <xdr:cNvSpPr>
              <a:spLocks noTextEdit="1"/>
            </xdr:cNvSpPr>
          </xdr:nvSpPr>
          <xdr:spPr>
            <a:xfrm>
              <a:off x="10384961" y="4254814"/>
              <a:ext cx="1801468" cy="1405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311728</xdr:colOff>
      <xdr:row>23</xdr:row>
      <xdr:rowOff>103909</xdr:rowOff>
    </xdr:from>
    <xdr:to>
      <xdr:col>17</xdr:col>
      <xdr:colOff>103909</xdr:colOff>
      <xdr:row>45</xdr:row>
      <xdr:rowOff>103909</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0.36355</cdr:x>
      <cdr:y>0.76032</cdr:y>
    </cdr:from>
    <cdr:to>
      <cdr:x>0.57656</cdr:x>
      <cdr:y>0.97489</cdr:y>
    </cdr:to>
    <cdr:sp macro="" textlink="">
      <cdr:nvSpPr>
        <cdr:cNvPr id="2" name="TextBox 1"/>
        <cdr:cNvSpPr txBox="1"/>
      </cdr:nvSpPr>
      <cdr:spPr>
        <a:xfrm xmlns:a="http://schemas.openxmlformats.org/drawingml/2006/main">
          <a:off x="1662141" y="2085704"/>
          <a:ext cx="973904" cy="58862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0.34716</cdr:x>
      <cdr:y>0.81104</cdr:y>
    </cdr:from>
    <cdr:to>
      <cdr:x>0.61636</cdr:x>
      <cdr:y>0.94368</cdr:y>
    </cdr:to>
    <cdr:sp macro="" textlink="">
      <cdr:nvSpPr>
        <cdr:cNvPr id="3" name="TextBox 2"/>
        <cdr:cNvSpPr txBox="1"/>
      </cdr:nvSpPr>
      <cdr:spPr>
        <a:xfrm xmlns:a="http://schemas.openxmlformats.org/drawingml/2006/main">
          <a:off x="1587225" y="2224833"/>
          <a:ext cx="1230758" cy="3638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85.7%</a:t>
          </a:r>
        </a:p>
      </cdr:txBody>
    </cdr:sp>
  </cdr:relSizeAnchor>
  <cdr:relSizeAnchor xmlns:cdr="http://schemas.openxmlformats.org/drawingml/2006/chartDrawing">
    <cdr:from>
      <cdr:x>0.44314</cdr:x>
      <cdr:y>0.38188</cdr:y>
    </cdr:from>
    <cdr:to>
      <cdr:x>0.56954</cdr:x>
      <cdr:y>0.56135</cdr:y>
    </cdr:to>
    <cdr:sp macro="" textlink="">
      <cdr:nvSpPr>
        <cdr:cNvPr id="4" name="TextBox 3"/>
        <cdr:cNvSpPr txBox="1"/>
      </cdr:nvSpPr>
      <cdr:spPr>
        <a:xfrm xmlns:a="http://schemas.openxmlformats.org/drawingml/2006/main">
          <a:off x="2026016" y="1047586"/>
          <a:ext cx="577921" cy="4923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600" b="1"/>
        </a:p>
      </cdr:txBody>
    </cdr:sp>
  </cdr:relSizeAnchor>
  <cdr:relSizeAnchor xmlns:cdr="http://schemas.openxmlformats.org/drawingml/2006/chartDrawing">
    <cdr:from>
      <cdr:x>0.37928</cdr:x>
      <cdr:y>0.2964</cdr:y>
    </cdr:from>
    <cdr:to>
      <cdr:x>0.53868</cdr:x>
      <cdr:y>0.44855</cdr:y>
    </cdr:to>
    <cdr:sp macro="" textlink="">
      <cdr:nvSpPr>
        <cdr:cNvPr id="5" name="TextBox 4"/>
        <cdr:cNvSpPr txBox="1"/>
      </cdr:nvSpPr>
      <cdr:spPr>
        <a:xfrm xmlns:a="http://schemas.openxmlformats.org/drawingml/2006/main">
          <a:off x="1723561" y="844151"/>
          <a:ext cx="724365" cy="4333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14.2%</a:t>
          </a:r>
        </a:p>
      </cdr:txBody>
    </cdr:sp>
  </cdr:relSizeAnchor>
</c:userShapes>
</file>

<file path=xl/drawings/drawing3.xml><?xml version="1.0" encoding="utf-8"?>
<c:userShapes xmlns:c="http://schemas.openxmlformats.org/drawingml/2006/chart">
  <cdr:relSizeAnchor xmlns:cdr="http://schemas.openxmlformats.org/drawingml/2006/chartDrawing">
    <cdr:from>
      <cdr:x>0.7451</cdr:x>
      <cdr:y>0.90799</cdr:y>
    </cdr:from>
    <cdr:to>
      <cdr:x>0.77255</cdr:x>
      <cdr:y>0.94271</cdr:y>
    </cdr:to>
    <cdr:sp macro="" textlink="">
      <cdr:nvSpPr>
        <cdr:cNvPr id="2" name="Flowchart: Connector 1"/>
        <cdr:cNvSpPr/>
      </cdr:nvSpPr>
      <cdr:spPr>
        <a:xfrm xmlns:a="http://schemas.openxmlformats.org/drawingml/2006/main">
          <a:off x="3619500" y="2490788"/>
          <a:ext cx="133350" cy="95250"/>
        </a:xfrm>
        <a:prstGeom xmlns:a="http://schemas.openxmlformats.org/drawingml/2006/main" prst="flowChartConnector">
          <a:avLst/>
        </a:prstGeom>
        <a:solidFill xmlns:a="http://schemas.openxmlformats.org/drawingml/2006/main">
          <a:srgbClr val="FD0B33"/>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0.78431</cdr:x>
      <cdr:y>0.94707</cdr:y>
    </cdr:from>
    <cdr:to>
      <cdr:x>0.80588</cdr:x>
      <cdr:y>0.97699</cdr:y>
    </cdr:to>
    <cdr:sp macro="" textlink="">
      <cdr:nvSpPr>
        <cdr:cNvPr id="9" name="Flowchart: Connector 8"/>
        <cdr:cNvSpPr/>
      </cdr:nvSpPr>
      <cdr:spPr>
        <a:xfrm xmlns:a="http://schemas.openxmlformats.org/drawingml/2006/main">
          <a:off x="3810000" y="3919539"/>
          <a:ext cx="104775" cy="123824"/>
        </a:xfrm>
        <a:prstGeom xmlns:a="http://schemas.openxmlformats.org/drawingml/2006/main" prst="flowChartConnector">
          <a:avLst/>
        </a:prstGeom>
        <a:solidFill xmlns:a="http://schemas.openxmlformats.org/drawingml/2006/main">
          <a:schemeClr val="accent6"/>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0.76078</cdr:x>
      <cdr:y>0.87674</cdr:y>
    </cdr:from>
    <cdr:to>
      <cdr:x>1</cdr:x>
      <cdr:y>0.98785</cdr:y>
    </cdr:to>
    <cdr:sp macro="" textlink="">
      <cdr:nvSpPr>
        <cdr:cNvPr id="12" name="TextBox 11"/>
        <cdr:cNvSpPr txBox="1"/>
      </cdr:nvSpPr>
      <cdr:spPr>
        <a:xfrm xmlns:a="http://schemas.openxmlformats.org/drawingml/2006/main">
          <a:off x="3695701" y="2405064"/>
          <a:ext cx="1162049"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HIGH SUGAR</a:t>
          </a:r>
        </a:p>
      </cdr:txBody>
    </cdr:sp>
  </cdr:relSizeAnchor>
  <cdr:relSizeAnchor xmlns:cdr="http://schemas.openxmlformats.org/drawingml/2006/chartDrawing">
    <cdr:from>
      <cdr:x>0.79608</cdr:x>
      <cdr:y>0.93326</cdr:y>
    </cdr:from>
    <cdr:to>
      <cdr:x>0.96667</cdr:x>
      <cdr:y>1</cdr:y>
    </cdr:to>
    <cdr:sp macro="" textlink="">
      <cdr:nvSpPr>
        <cdr:cNvPr id="13" name="TextBox 12"/>
        <cdr:cNvSpPr txBox="1"/>
      </cdr:nvSpPr>
      <cdr:spPr>
        <a:xfrm xmlns:a="http://schemas.openxmlformats.org/drawingml/2006/main">
          <a:off x="3867150" y="4043364"/>
          <a:ext cx="82867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NORMAL</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26.506909490738" createdVersion="5" refreshedVersion="5" minRefreshableVersion="3" recordCount="78">
  <cacheSource type="worksheet">
    <worksheetSource ref="A1:W1048576" sheet="Clean Data"/>
  </cacheSource>
  <cacheFields count="23">
    <cacheField name="Cereal Name" numFmtId="0">
      <sharedItems containsBlank="1" count="78">
        <s v="100% Bran"/>
        <s v="100% Natural Bran"/>
        <s v="All-Bran"/>
        <s v="All-Bran with Extra Fiber"/>
        <s v="Almond Delight"/>
        <s v="Apple Cinnamon Cheerios"/>
        <s v="Apple Jacks"/>
        <s v="Basic 4"/>
        <s v="Bran Chex"/>
        <s v="Bran Flakes"/>
        <s v="Cap'n'Crunch"/>
        <s v="Cheerios"/>
        <s v="Cinnamon Toast Crunch"/>
        <s v="Clusters"/>
        <s v="Cocoa Puffs"/>
        <s v="Corn Chex"/>
        <s v="Corn Flakes"/>
        <s v="Corn Pops"/>
        <s v="Count Chocula"/>
        <s v="Cracklin' Oat Bran"/>
        <s v="Cream of Wheat (Quick)"/>
        <s v="Crispix"/>
        <s v="Crispy Wheat &amp; Raisins"/>
        <s v="Double Chex"/>
        <s v="Froot Loops"/>
        <s v="Frosted Flakes"/>
        <s v="Frosted Mini-Wheats"/>
        <s v="Fruit &amp; Fibre Dates; Walnuts; and Oats"/>
        <s v="Fruitful Bran"/>
        <s v="Fruity Pebbles"/>
        <s v="Golden Crisp"/>
        <s v="Golden Grahams"/>
        <s v="Grape Nuts Flakes"/>
        <s v="Grape-Nuts"/>
        <s v="Great Grains Pecan"/>
        <s v="Honey Graham Ohs"/>
        <s v="Honey Nut Cheerios"/>
        <s v="Honey-comb"/>
        <s v="Just Right Crunchy  Nuggets"/>
        <s v="Just Right Fruit &amp; Nut"/>
        <s v="Kix"/>
        <s v="Life"/>
        <s v="Lucky Charms"/>
        <s v="Maypo"/>
        <s v="Muesli Raisins; Dates; &amp; Almonds"/>
        <s v="Muesli Raisins; Peaches; &amp; Pecans"/>
        <s v="Mueslix Crispy Blend"/>
        <s v="Multi-Grain Cheerios"/>
        <s v="Nut&amp;Honey Crunch"/>
        <s v="Nutri-Grain Almond-Raisin"/>
        <s v="Nutri-grain Wheat"/>
        <s v="Oatmeal Raisin Crisp"/>
        <s v="Post Nat. Raisin Bran"/>
        <s v="Product 19"/>
        <s v="Puffed Rice"/>
        <s v="Puffed Wheat"/>
        <s v="Quaker Oat Squares"/>
        <s v="Quaker Oatmeal"/>
        <s v="Raisin Bran"/>
        <s v="Raisin Nut Bran"/>
        <s v="Raisin Squares"/>
        <s v="Rice Chex"/>
        <s v="Rice Krispies"/>
        <s v="Shredded Wheat"/>
        <s v="Shredded Wheat 'n'Bran"/>
        <s v="Shredded Wheat spoon size"/>
        <s v="Smacks"/>
        <s v="Special K"/>
        <s v="Strawberry Fruit Wheats"/>
        <s v="Total Corn Flakes"/>
        <s v="Total Raisin Bran"/>
        <s v="Total Whole Grain"/>
        <s v="Triples"/>
        <s v="Trix"/>
        <s v="Wheat Chex"/>
        <s v="Wheaties"/>
        <s v="Wheaties Honey Gold"/>
        <m/>
      </sharedItems>
    </cacheField>
    <cacheField name="Manufacturer" numFmtId="0">
      <sharedItems containsBlank="1" count="8">
        <s v="Nabisco"/>
        <s v="Quaker Oats"/>
        <s v="Kelloggs"/>
        <s v="Ralston Purina"/>
        <s v="General Mills"/>
        <s v="Post"/>
        <s v="American Home Food Products"/>
        <m/>
      </sharedItems>
    </cacheField>
    <cacheField name="Type" numFmtId="0">
      <sharedItems containsBlank="1"/>
    </cacheField>
    <cacheField name="Calories" numFmtId="0">
      <sharedItems containsString="0" containsBlank="1" containsNumber="1" containsInteger="1" minValue="50" maxValue="160"/>
    </cacheField>
    <cacheField name="Protein" numFmtId="0">
      <sharedItems containsString="0" containsBlank="1" containsNumber="1" containsInteger="1" minValue="1" maxValue="6"/>
    </cacheField>
    <cacheField name="Fat" numFmtId="0">
      <sharedItems containsString="0" containsBlank="1" containsNumber="1" containsInteger="1" minValue="0" maxValue="5"/>
    </cacheField>
    <cacheField name="Sodium" numFmtId="0">
      <sharedItems containsString="0" containsBlank="1" containsNumber="1" containsInteger="1" minValue="0" maxValue="320"/>
    </cacheField>
    <cacheField name="Fiber" numFmtId="0">
      <sharedItems containsString="0" containsBlank="1" containsNumber="1" minValue="0" maxValue="14"/>
    </cacheField>
    <cacheField name="Carbohydrate" numFmtId="0">
      <sharedItems containsString="0" containsBlank="1" containsNumber="1" minValue="-1" maxValue="23"/>
    </cacheField>
    <cacheField name="Sugars" numFmtId="0">
      <sharedItems containsString="0" containsBlank="1" containsNumber="1" containsInteger="1" minValue="-1" maxValue="15"/>
    </cacheField>
    <cacheField name="Potassium" numFmtId="0">
      <sharedItems containsString="0" containsBlank="1" containsNumber="1" containsInteger="1" minValue="-1" maxValue="330"/>
    </cacheField>
    <cacheField name="Vitamins" numFmtId="0">
      <sharedItems containsString="0" containsBlank="1" containsNumber="1" containsInteger="1" minValue="0" maxValue="100"/>
    </cacheField>
    <cacheField name="Shelf" numFmtId="0">
      <sharedItems containsString="0" containsBlank="1" containsNumber="1" containsInteger="1" minValue="1" maxValue="3"/>
    </cacheField>
    <cacheField name="Weight" numFmtId="0">
      <sharedItems containsString="0" containsBlank="1" containsNumber="1" minValue="0.5" maxValue="1.5"/>
    </cacheField>
    <cacheField name="Cups" numFmtId="0">
      <sharedItems containsBlank="1" containsMixedTypes="1" containsNumber="1" minValue="0.25" maxValue="1.5"/>
    </cacheField>
    <cacheField name="Rating" numFmtId="0">
      <sharedItems containsString="0" containsBlank="1" containsNumber="1" minValue="18.042850999999999" maxValue="93.704911999999993" count="78">
        <n v="68.402973000000003"/>
        <n v="33.983679000000002"/>
        <n v="59.425505000000001"/>
        <n v="93.704911999999993"/>
        <n v="34.384842999999996"/>
        <n v="29.509540999999999"/>
        <n v="33.174093999999997"/>
        <n v="37.038561999999999"/>
        <n v="49.120252999999998"/>
        <n v="53.313813000000003"/>
        <n v="18.042850999999999"/>
        <n v="50.764999000000003"/>
        <n v="19.823573"/>
        <n v="40.400207999999999"/>
        <n v="22.736446000000001"/>
        <n v="41.445019000000002"/>
        <n v="45.863323999999999"/>
        <n v="35.782791000000003"/>
        <n v="22.396512999999999"/>
        <n v="40.448771999999998"/>
        <n v="64.533816000000002"/>
        <n v="46.895643999999997"/>
        <n v="36.176195999999997"/>
        <n v="44.330855999999997"/>
        <n v="32.207582000000002"/>
        <n v="31.435973000000001"/>
        <n v="58.345140999999998"/>
        <n v="40.917046999999997"/>
        <n v="41.015492000000002"/>
        <n v="28.025765"/>
        <n v="35.252443999999997"/>
        <n v="23.804043"/>
        <n v="52.076897000000002"/>
        <n v="53.371006999999999"/>
        <n v="45.811715999999997"/>
        <n v="21.871292"/>
        <n v="31.072216999999998"/>
        <n v="28.742414"/>
        <n v="36.523682999999998"/>
        <n v="36.471511999999997"/>
        <n v="39.241114000000003"/>
        <n v="45.328074000000001"/>
        <n v="26.734514999999998"/>
        <n v="54.850917000000003"/>
        <n v="37.136862999999998"/>
        <n v="34.139764999999997"/>
        <n v="30.313351000000001"/>
        <n v="40.105964999999998"/>
        <n v="29.924285000000001"/>
        <n v="40.692320000000002"/>
        <n v="59.642837"/>
        <n v="30.450842999999999"/>
        <n v="37.840594000000003"/>
        <n v="41.503540000000001"/>
        <n v="60.756112000000002"/>
        <n v="63.005645000000001"/>
        <n v="49.511873999999999"/>
        <n v="50.828392000000001"/>
        <n v="39.259197"/>
        <n v="39.703400000000002"/>
        <n v="55.333142000000002"/>
        <n v="41.998933000000001"/>
        <n v="40.560158999999999"/>
        <n v="68.235884999999996"/>
        <n v="74.472949"/>
        <n v="72.801787000000004"/>
        <n v="31.230053999999999"/>
        <n v="53.131323999999999"/>
        <n v="59.363993000000001"/>
        <n v="38.839745999999998"/>
        <n v="28.592784999999999"/>
        <n v="46.658844000000002"/>
        <n v="39.106174000000003"/>
        <n v="27.753301"/>
        <n v="49.787444999999998"/>
        <n v="51.592193000000002"/>
        <n v="36.187559"/>
        <m/>
      </sharedItems>
    </cacheField>
    <cacheField name="Health Score" numFmtId="49">
      <sharedItems containsBlank="1" count="3">
        <s v="Unhealthy"/>
        <s v="Healthy"/>
        <m/>
      </sharedItems>
    </cacheField>
    <cacheField name="Needs Improvemnt" numFmtId="0">
      <sharedItems containsBlank="1" count="3">
        <s v="yes"/>
        <s v="no"/>
        <m/>
      </sharedItems>
    </cacheField>
    <cacheField name="High Sugar Flag" numFmtId="0">
      <sharedItems containsBlank="1" count="3">
        <s v="High sugar"/>
        <s v="Normal"/>
        <m/>
      </sharedItems>
    </cacheField>
    <cacheField name="Low Fiber Flag" numFmtId="0">
      <sharedItems containsBlank="1" count="3">
        <s v="Normal"/>
        <s v="Low Fiber"/>
        <m/>
      </sharedItems>
    </cacheField>
    <cacheField name="High Caloris Flag" numFmtId="0">
      <sharedItems containsBlank="1"/>
    </cacheField>
    <cacheField name="High Sodium Flag" numFmtId="0">
      <sharedItems containsBlank="1"/>
    </cacheField>
    <cacheField name="Primary Issue" numFmtId="0">
      <sharedItems containsBlank="1" count="5">
        <s v="High Sugar"/>
        <s v="High Sodium"/>
        <s v="Healthy"/>
        <s v="Low Fiber"/>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8">
  <r>
    <x v="0"/>
    <x v="0"/>
    <s v="Cold"/>
    <n v="70"/>
    <n v="4"/>
    <n v="1"/>
    <n v="130"/>
    <n v="10"/>
    <n v="5"/>
    <n v="6"/>
    <n v="280"/>
    <n v="25"/>
    <n v="3"/>
    <n v="1"/>
    <n v="0.33"/>
    <x v="0"/>
    <x v="0"/>
    <x v="0"/>
    <x v="0"/>
    <x v="0"/>
    <s v="Normal"/>
    <s v="Normal"/>
    <x v="0"/>
  </r>
  <r>
    <x v="1"/>
    <x v="1"/>
    <s v="Cold"/>
    <n v="120"/>
    <n v="3"/>
    <n v="5"/>
    <n v="15"/>
    <n v="2"/>
    <n v="8"/>
    <n v="8"/>
    <n v="135"/>
    <n v="0"/>
    <n v="3"/>
    <n v="1"/>
    <n v="1"/>
    <x v="1"/>
    <x v="0"/>
    <x v="0"/>
    <x v="0"/>
    <x v="1"/>
    <s v="High Calories"/>
    <s v="Normal"/>
    <x v="0"/>
  </r>
  <r>
    <x v="2"/>
    <x v="2"/>
    <s v="Cold"/>
    <n v="70"/>
    <n v="4"/>
    <n v="1"/>
    <n v="260"/>
    <n v="9"/>
    <n v="7"/>
    <n v="5"/>
    <n v="320"/>
    <n v="25"/>
    <n v="3"/>
    <n v="1"/>
    <n v="0.33"/>
    <x v="2"/>
    <x v="0"/>
    <x v="0"/>
    <x v="1"/>
    <x v="0"/>
    <s v="Normal"/>
    <s v="High Sodium"/>
    <x v="1"/>
  </r>
  <r>
    <x v="3"/>
    <x v="2"/>
    <s v="Cold"/>
    <n v="50"/>
    <n v="4"/>
    <n v="0"/>
    <n v="140"/>
    <n v="14"/>
    <n v="8"/>
    <n v="0"/>
    <n v="330"/>
    <n v="25"/>
    <n v="3"/>
    <n v="1"/>
    <n v="0.5"/>
    <x v="3"/>
    <x v="1"/>
    <x v="1"/>
    <x v="1"/>
    <x v="0"/>
    <s v="Normal"/>
    <s v="Normal"/>
    <x v="2"/>
  </r>
  <r>
    <x v="4"/>
    <x v="3"/>
    <s v="Cold"/>
    <n v="110"/>
    <n v="2"/>
    <n v="2"/>
    <n v="200"/>
    <n v="1"/>
    <n v="14"/>
    <n v="8"/>
    <n v="-1"/>
    <n v="25"/>
    <n v="3"/>
    <n v="1"/>
    <n v="0.75"/>
    <x v="4"/>
    <x v="0"/>
    <x v="0"/>
    <x v="0"/>
    <x v="1"/>
    <s v="Normal"/>
    <s v="High Sodium"/>
    <x v="0"/>
  </r>
  <r>
    <x v="5"/>
    <x v="4"/>
    <s v="Cold"/>
    <n v="110"/>
    <n v="2"/>
    <n v="2"/>
    <n v="180"/>
    <n v="1.5"/>
    <n v="10.5"/>
    <n v="10"/>
    <n v="70"/>
    <n v="25"/>
    <n v="1"/>
    <n v="1"/>
    <n v="0.75"/>
    <x v="5"/>
    <x v="0"/>
    <x v="0"/>
    <x v="0"/>
    <x v="1"/>
    <s v="Normal"/>
    <s v="Normal"/>
    <x v="0"/>
  </r>
  <r>
    <x v="6"/>
    <x v="2"/>
    <s v="Cold"/>
    <n v="110"/>
    <n v="2"/>
    <n v="0"/>
    <n v="125"/>
    <n v="1"/>
    <n v="11"/>
    <n v="14"/>
    <n v="30"/>
    <n v="25"/>
    <n v="2"/>
    <n v="1"/>
    <n v="1"/>
    <x v="6"/>
    <x v="0"/>
    <x v="0"/>
    <x v="0"/>
    <x v="1"/>
    <s v="Normal"/>
    <s v="Normal"/>
    <x v="0"/>
  </r>
  <r>
    <x v="7"/>
    <x v="4"/>
    <s v="Cold"/>
    <n v="130"/>
    <n v="3"/>
    <n v="2"/>
    <n v="210"/>
    <n v="2"/>
    <n v="18"/>
    <n v="8"/>
    <n v="100"/>
    <n v="25"/>
    <n v="3"/>
    <n v="1.33"/>
    <n v="0.75"/>
    <x v="7"/>
    <x v="0"/>
    <x v="0"/>
    <x v="0"/>
    <x v="1"/>
    <s v="High Calories"/>
    <s v="High Sodium"/>
    <x v="0"/>
  </r>
  <r>
    <x v="8"/>
    <x v="3"/>
    <s v="Cold"/>
    <n v="90"/>
    <n v="2"/>
    <n v="1"/>
    <n v="200"/>
    <n v="4"/>
    <n v="15"/>
    <n v="6"/>
    <n v="125"/>
    <n v="25"/>
    <n v="1"/>
    <n v="1"/>
    <n v="0.67"/>
    <x v="8"/>
    <x v="0"/>
    <x v="0"/>
    <x v="0"/>
    <x v="0"/>
    <s v="Normal"/>
    <s v="High Sodium"/>
    <x v="0"/>
  </r>
  <r>
    <x v="9"/>
    <x v="5"/>
    <s v="Cold"/>
    <n v="90"/>
    <n v="3"/>
    <n v="0"/>
    <n v="210"/>
    <n v="5"/>
    <n v="13"/>
    <n v="5"/>
    <n v="190"/>
    <n v="25"/>
    <n v="3"/>
    <n v="1"/>
    <n v="0.67"/>
    <x v="9"/>
    <x v="0"/>
    <x v="0"/>
    <x v="1"/>
    <x v="0"/>
    <s v="Normal"/>
    <s v="High Sodium"/>
    <x v="1"/>
  </r>
  <r>
    <x v="10"/>
    <x v="1"/>
    <s v="Cold"/>
    <n v="120"/>
    <n v="1"/>
    <n v="2"/>
    <n v="220"/>
    <n v="0"/>
    <n v="12"/>
    <n v="12"/>
    <n v="35"/>
    <n v="25"/>
    <n v="2"/>
    <n v="1"/>
    <n v="0.75"/>
    <x v="10"/>
    <x v="0"/>
    <x v="0"/>
    <x v="0"/>
    <x v="1"/>
    <s v="High Calories"/>
    <s v="High Sodium"/>
    <x v="0"/>
  </r>
  <r>
    <x v="11"/>
    <x v="4"/>
    <s v="Cold"/>
    <n v="110"/>
    <n v="6"/>
    <n v="2"/>
    <n v="290"/>
    <n v="2"/>
    <n v="17"/>
    <n v="1"/>
    <n v="105"/>
    <n v="25"/>
    <n v="1"/>
    <n v="1"/>
    <n v="1.25"/>
    <x v="11"/>
    <x v="0"/>
    <x v="0"/>
    <x v="1"/>
    <x v="1"/>
    <s v="Normal"/>
    <s v="High Sodium"/>
    <x v="3"/>
  </r>
  <r>
    <x v="12"/>
    <x v="4"/>
    <s v="Cold"/>
    <n v="120"/>
    <n v="1"/>
    <n v="3"/>
    <n v="210"/>
    <n v="0"/>
    <n v="13"/>
    <n v="9"/>
    <n v="45"/>
    <n v="25"/>
    <n v="2"/>
    <n v="1"/>
    <n v="0.75"/>
    <x v="12"/>
    <x v="0"/>
    <x v="0"/>
    <x v="0"/>
    <x v="1"/>
    <s v="High Calories"/>
    <s v="High Sodium"/>
    <x v="0"/>
  </r>
  <r>
    <x v="13"/>
    <x v="4"/>
    <s v="Cold"/>
    <n v="110"/>
    <n v="3"/>
    <n v="2"/>
    <n v="140"/>
    <n v="2"/>
    <n v="13"/>
    <n v="7"/>
    <n v="105"/>
    <n v="25"/>
    <n v="3"/>
    <n v="1"/>
    <n v="0.5"/>
    <x v="13"/>
    <x v="0"/>
    <x v="0"/>
    <x v="0"/>
    <x v="1"/>
    <s v="Normal"/>
    <s v="Normal"/>
    <x v="0"/>
  </r>
  <r>
    <x v="14"/>
    <x v="4"/>
    <s v="Cold"/>
    <n v="110"/>
    <n v="1"/>
    <n v="1"/>
    <n v="180"/>
    <n v="0"/>
    <n v="12"/>
    <n v="13"/>
    <n v="55"/>
    <n v="25"/>
    <n v="2"/>
    <n v="1"/>
    <n v="1"/>
    <x v="14"/>
    <x v="0"/>
    <x v="0"/>
    <x v="0"/>
    <x v="1"/>
    <s v="Normal"/>
    <s v="Normal"/>
    <x v="0"/>
  </r>
  <r>
    <x v="15"/>
    <x v="3"/>
    <s v="Cold"/>
    <n v="110"/>
    <n v="2"/>
    <n v="0"/>
    <n v="280"/>
    <n v="0"/>
    <n v="22"/>
    <n v="3"/>
    <n v="25"/>
    <n v="25"/>
    <n v="1"/>
    <n v="1"/>
    <n v="1"/>
    <x v="15"/>
    <x v="0"/>
    <x v="0"/>
    <x v="1"/>
    <x v="1"/>
    <s v="Normal"/>
    <s v="High Sodium"/>
    <x v="3"/>
  </r>
  <r>
    <x v="16"/>
    <x v="2"/>
    <s v="Cold"/>
    <n v="100"/>
    <n v="2"/>
    <n v="0"/>
    <n v="290"/>
    <n v="1"/>
    <n v="21"/>
    <n v="2"/>
    <n v="35"/>
    <n v="25"/>
    <n v="1"/>
    <n v="1"/>
    <n v="1"/>
    <x v="16"/>
    <x v="0"/>
    <x v="0"/>
    <x v="1"/>
    <x v="1"/>
    <s v="Normal"/>
    <s v="High Sodium"/>
    <x v="3"/>
  </r>
  <r>
    <x v="17"/>
    <x v="2"/>
    <s v="Cold"/>
    <n v="110"/>
    <n v="1"/>
    <n v="0"/>
    <n v="90"/>
    <n v="1"/>
    <n v="13"/>
    <n v="12"/>
    <n v="20"/>
    <n v="25"/>
    <n v="2"/>
    <n v="1"/>
    <n v="1"/>
    <x v="17"/>
    <x v="0"/>
    <x v="0"/>
    <x v="0"/>
    <x v="1"/>
    <s v="Normal"/>
    <s v="Normal"/>
    <x v="0"/>
  </r>
  <r>
    <x v="18"/>
    <x v="4"/>
    <s v="Cold"/>
    <n v="110"/>
    <n v="1"/>
    <n v="1"/>
    <n v="180"/>
    <n v="0"/>
    <n v="12"/>
    <n v="13"/>
    <n v="65"/>
    <n v="25"/>
    <n v="2"/>
    <n v="1"/>
    <n v="1"/>
    <x v="18"/>
    <x v="0"/>
    <x v="0"/>
    <x v="0"/>
    <x v="1"/>
    <s v="Normal"/>
    <s v="Normal"/>
    <x v="0"/>
  </r>
  <r>
    <x v="19"/>
    <x v="2"/>
    <s v="Cold"/>
    <n v="110"/>
    <n v="3"/>
    <n v="3"/>
    <n v="140"/>
    <n v="4"/>
    <n v="10"/>
    <n v="7"/>
    <n v="160"/>
    <n v="25"/>
    <n v="3"/>
    <n v="1"/>
    <n v="0.5"/>
    <x v="19"/>
    <x v="0"/>
    <x v="0"/>
    <x v="0"/>
    <x v="0"/>
    <s v="Normal"/>
    <s v="Normal"/>
    <x v="0"/>
  </r>
  <r>
    <x v="20"/>
    <x v="0"/>
    <s v="Hot"/>
    <n v="100"/>
    <n v="3"/>
    <n v="0"/>
    <n v="80"/>
    <n v="1"/>
    <n v="21"/>
    <n v="0"/>
    <n v="-1"/>
    <n v="0"/>
    <n v="2"/>
    <n v="1"/>
    <s v=" "/>
    <x v="20"/>
    <x v="0"/>
    <x v="0"/>
    <x v="1"/>
    <x v="1"/>
    <s v="Normal"/>
    <s v="Normal"/>
    <x v="3"/>
  </r>
  <r>
    <x v="21"/>
    <x v="2"/>
    <s v="Cold"/>
    <n v="110"/>
    <n v="2"/>
    <n v="0"/>
    <n v="220"/>
    <n v="1"/>
    <n v="21"/>
    <n v="3"/>
    <n v="30"/>
    <n v="25"/>
    <n v="3"/>
    <n v="1"/>
    <n v="1"/>
    <x v="21"/>
    <x v="0"/>
    <x v="0"/>
    <x v="1"/>
    <x v="1"/>
    <s v="Normal"/>
    <s v="High Sodium"/>
    <x v="3"/>
  </r>
  <r>
    <x v="22"/>
    <x v="4"/>
    <s v="Cold"/>
    <n v="100"/>
    <n v="2"/>
    <n v="1"/>
    <n v="140"/>
    <n v="2"/>
    <n v="11"/>
    <n v="10"/>
    <n v="120"/>
    <n v="25"/>
    <n v="3"/>
    <n v="1"/>
    <n v="0.75"/>
    <x v="22"/>
    <x v="0"/>
    <x v="0"/>
    <x v="0"/>
    <x v="1"/>
    <s v="Normal"/>
    <s v="Normal"/>
    <x v="0"/>
  </r>
  <r>
    <x v="23"/>
    <x v="3"/>
    <s v="Cold"/>
    <n v="100"/>
    <n v="2"/>
    <n v="0"/>
    <n v="190"/>
    <n v="1"/>
    <n v="18"/>
    <n v="5"/>
    <n v="80"/>
    <n v="25"/>
    <n v="3"/>
    <n v="1"/>
    <n v="0.75"/>
    <x v="23"/>
    <x v="0"/>
    <x v="0"/>
    <x v="1"/>
    <x v="1"/>
    <s v="Normal"/>
    <s v="Normal"/>
    <x v="3"/>
  </r>
  <r>
    <x v="24"/>
    <x v="2"/>
    <s v="Cold"/>
    <n v="110"/>
    <n v="2"/>
    <n v="1"/>
    <n v="125"/>
    <n v="1"/>
    <n v="11"/>
    <n v="13"/>
    <n v="30"/>
    <n v="25"/>
    <n v="2"/>
    <n v="1"/>
    <n v="1"/>
    <x v="24"/>
    <x v="0"/>
    <x v="0"/>
    <x v="0"/>
    <x v="1"/>
    <s v="Normal"/>
    <s v="Normal"/>
    <x v="0"/>
  </r>
  <r>
    <x v="25"/>
    <x v="2"/>
    <s v="Cold"/>
    <n v="110"/>
    <n v="1"/>
    <n v="0"/>
    <n v="200"/>
    <n v="1"/>
    <n v="14"/>
    <n v="11"/>
    <n v="25"/>
    <n v="25"/>
    <n v="1"/>
    <n v="1"/>
    <n v="0.75"/>
    <x v="25"/>
    <x v="0"/>
    <x v="0"/>
    <x v="0"/>
    <x v="1"/>
    <s v="Normal"/>
    <s v="High Sodium"/>
    <x v="0"/>
  </r>
  <r>
    <x v="26"/>
    <x v="2"/>
    <s v="Cold"/>
    <n v="100"/>
    <n v="3"/>
    <n v="0"/>
    <n v="0"/>
    <n v="3"/>
    <n v="14"/>
    <n v="7"/>
    <n v="100"/>
    <n v="25"/>
    <n v="2"/>
    <n v="1"/>
    <n v="0.8"/>
    <x v="26"/>
    <x v="0"/>
    <x v="0"/>
    <x v="0"/>
    <x v="1"/>
    <s v="Normal"/>
    <s v="Normal"/>
    <x v="0"/>
  </r>
  <r>
    <x v="27"/>
    <x v="5"/>
    <s v="Cold"/>
    <n v="120"/>
    <n v="3"/>
    <n v="2"/>
    <n v="160"/>
    <n v="5"/>
    <n v="12"/>
    <n v="10"/>
    <n v="200"/>
    <n v="25"/>
    <n v="3"/>
    <n v="1.25"/>
    <n v="0.67"/>
    <x v="27"/>
    <x v="0"/>
    <x v="0"/>
    <x v="0"/>
    <x v="0"/>
    <s v="High Calories"/>
    <s v="Normal"/>
    <x v="0"/>
  </r>
  <r>
    <x v="28"/>
    <x v="2"/>
    <s v="Cold"/>
    <n v="120"/>
    <n v="3"/>
    <n v="0"/>
    <n v="240"/>
    <n v="5"/>
    <n v="14"/>
    <n v="12"/>
    <n v="190"/>
    <n v="25"/>
    <n v="3"/>
    <n v="1.33"/>
    <n v="0.67"/>
    <x v="28"/>
    <x v="0"/>
    <x v="0"/>
    <x v="0"/>
    <x v="0"/>
    <s v="High Calories"/>
    <s v="High Sodium"/>
    <x v="0"/>
  </r>
  <r>
    <x v="29"/>
    <x v="5"/>
    <s v="Cold"/>
    <n v="110"/>
    <n v="1"/>
    <n v="1"/>
    <n v="135"/>
    <n v="0"/>
    <n v="13"/>
    <n v="12"/>
    <n v="25"/>
    <n v="25"/>
    <n v="2"/>
    <n v="1"/>
    <n v="0.75"/>
    <x v="29"/>
    <x v="0"/>
    <x v="0"/>
    <x v="0"/>
    <x v="1"/>
    <s v="Normal"/>
    <s v="Normal"/>
    <x v="0"/>
  </r>
  <r>
    <x v="30"/>
    <x v="5"/>
    <s v="Cold"/>
    <n v="100"/>
    <n v="2"/>
    <n v="0"/>
    <n v="45"/>
    <n v="0"/>
    <n v="11"/>
    <n v="15"/>
    <n v="40"/>
    <n v="25"/>
    <n v="1"/>
    <n v="1"/>
    <n v="0.88"/>
    <x v="30"/>
    <x v="0"/>
    <x v="0"/>
    <x v="0"/>
    <x v="1"/>
    <s v="Normal"/>
    <s v="Normal"/>
    <x v="0"/>
  </r>
  <r>
    <x v="31"/>
    <x v="4"/>
    <s v="Cold"/>
    <n v="110"/>
    <n v="1"/>
    <n v="1"/>
    <n v="280"/>
    <n v="0"/>
    <n v="15"/>
    <n v="9"/>
    <n v="45"/>
    <n v="25"/>
    <n v="2"/>
    <n v="1"/>
    <n v="0.75"/>
    <x v="31"/>
    <x v="0"/>
    <x v="0"/>
    <x v="0"/>
    <x v="1"/>
    <s v="Normal"/>
    <s v="High Sodium"/>
    <x v="0"/>
  </r>
  <r>
    <x v="32"/>
    <x v="5"/>
    <s v="Cold"/>
    <n v="100"/>
    <n v="3"/>
    <n v="1"/>
    <n v="140"/>
    <n v="3"/>
    <n v="15"/>
    <n v="5"/>
    <n v="85"/>
    <n v="25"/>
    <n v="3"/>
    <n v="1"/>
    <n v="0.88"/>
    <x v="32"/>
    <x v="1"/>
    <x v="1"/>
    <x v="1"/>
    <x v="1"/>
    <s v="Normal"/>
    <s v="Normal"/>
    <x v="3"/>
  </r>
  <r>
    <x v="33"/>
    <x v="5"/>
    <s v="Cold"/>
    <n v="110"/>
    <n v="3"/>
    <n v="0"/>
    <n v="170"/>
    <n v="3"/>
    <n v="17"/>
    <n v="3"/>
    <n v="90"/>
    <n v="25"/>
    <n v="3"/>
    <n v="1"/>
    <n v="0.25"/>
    <x v="33"/>
    <x v="1"/>
    <x v="1"/>
    <x v="1"/>
    <x v="1"/>
    <s v="Normal"/>
    <s v="Normal"/>
    <x v="3"/>
  </r>
  <r>
    <x v="34"/>
    <x v="5"/>
    <s v="Cold"/>
    <n v="120"/>
    <n v="3"/>
    <n v="3"/>
    <n v="75"/>
    <n v="3"/>
    <n v="13"/>
    <n v="4"/>
    <n v="100"/>
    <n v="25"/>
    <n v="3"/>
    <n v="1"/>
    <n v="0.33"/>
    <x v="34"/>
    <x v="1"/>
    <x v="1"/>
    <x v="1"/>
    <x v="1"/>
    <s v="High Calories"/>
    <s v="Normal"/>
    <x v="3"/>
  </r>
  <r>
    <x v="35"/>
    <x v="1"/>
    <s v="Cold"/>
    <n v="120"/>
    <n v="1"/>
    <n v="2"/>
    <n v="220"/>
    <n v="1"/>
    <n v="12"/>
    <n v="11"/>
    <n v="45"/>
    <n v="25"/>
    <n v="2"/>
    <n v="1"/>
    <n v="1"/>
    <x v="35"/>
    <x v="0"/>
    <x v="0"/>
    <x v="0"/>
    <x v="1"/>
    <s v="High Calories"/>
    <s v="High Sodium"/>
    <x v="0"/>
  </r>
  <r>
    <x v="36"/>
    <x v="4"/>
    <s v="Cold"/>
    <n v="110"/>
    <n v="3"/>
    <n v="1"/>
    <n v="250"/>
    <n v="1.5"/>
    <n v="11.5"/>
    <n v="10"/>
    <n v="90"/>
    <n v="25"/>
    <n v="1"/>
    <n v="1"/>
    <n v="0.75"/>
    <x v="36"/>
    <x v="0"/>
    <x v="0"/>
    <x v="0"/>
    <x v="1"/>
    <s v="Normal"/>
    <s v="High Sodium"/>
    <x v="0"/>
  </r>
  <r>
    <x v="37"/>
    <x v="5"/>
    <s v="Cold"/>
    <n v="110"/>
    <n v="1"/>
    <n v="0"/>
    <n v="180"/>
    <n v="0"/>
    <n v="14"/>
    <n v="11"/>
    <n v="35"/>
    <n v="25"/>
    <n v="1"/>
    <n v="1"/>
    <n v="1.33"/>
    <x v="37"/>
    <x v="0"/>
    <x v="0"/>
    <x v="0"/>
    <x v="1"/>
    <s v="Normal"/>
    <s v="Normal"/>
    <x v="0"/>
  </r>
  <r>
    <x v="38"/>
    <x v="2"/>
    <s v="Cold"/>
    <n v="110"/>
    <n v="2"/>
    <n v="1"/>
    <n v="170"/>
    <n v="1"/>
    <n v="17"/>
    <n v="6"/>
    <n v="60"/>
    <n v="100"/>
    <n v="3"/>
    <n v="1"/>
    <n v="1"/>
    <x v="38"/>
    <x v="0"/>
    <x v="0"/>
    <x v="0"/>
    <x v="1"/>
    <s v="Normal"/>
    <s v="Normal"/>
    <x v="0"/>
  </r>
  <r>
    <x v="39"/>
    <x v="2"/>
    <s v="Cold"/>
    <n v="140"/>
    <n v="3"/>
    <n v="1"/>
    <n v="170"/>
    <n v="2"/>
    <n v="20"/>
    <n v="9"/>
    <n v="95"/>
    <n v="100"/>
    <n v="3"/>
    <n v="1.3"/>
    <n v="0.75"/>
    <x v="39"/>
    <x v="0"/>
    <x v="0"/>
    <x v="0"/>
    <x v="1"/>
    <s v="High Calories"/>
    <s v="Normal"/>
    <x v="0"/>
  </r>
  <r>
    <x v="40"/>
    <x v="4"/>
    <s v="Cold"/>
    <n v="110"/>
    <n v="2"/>
    <n v="1"/>
    <n v="260"/>
    <n v="0"/>
    <n v="21"/>
    <n v="3"/>
    <n v="40"/>
    <n v="25"/>
    <n v="2"/>
    <n v="1"/>
    <n v="1.5"/>
    <x v="40"/>
    <x v="0"/>
    <x v="0"/>
    <x v="1"/>
    <x v="1"/>
    <s v="Normal"/>
    <s v="High Sodium"/>
    <x v="3"/>
  </r>
  <r>
    <x v="41"/>
    <x v="1"/>
    <s v="Cold"/>
    <n v="100"/>
    <n v="4"/>
    <n v="2"/>
    <n v="150"/>
    <n v="2"/>
    <n v="12"/>
    <n v="6"/>
    <n v="95"/>
    <n v="25"/>
    <n v="2"/>
    <n v="1"/>
    <n v="0.67"/>
    <x v="41"/>
    <x v="0"/>
    <x v="0"/>
    <x v="0"/>
    <x v="1"/>
    <s v="Normal"/>
    <s v="Normal"/>
    <x v="0"/>
  </r>
  <r>
    <x v="42"/>
    <x v="4"/>
    <s v="Cold"/>
    <n v="110"/>
    <n v="2"/>
    <n v="1"/>
    <n v="180"/>
    <n v="0"/>
    <n v="12"/>
    <n v="12"/>
    <n v="55"/>
    <n v="25"/>
    <n v="2"/>
    <n v="1"/>
    <n v="1"/>
    <x v="42"/>
    <x v="0"/>
    <x v="0"/>
    <x v="0"/>
    <x v="1"/>
    <s v="Normal"/>
    <s v="Normal"/>
    <x v="0"/>
  </r>
  <r>
    <x v="43"/>
    <x v="6"/>
    <s v="Hot"/>
    <n v="100"/>
    <n v="4"/>
    <n v="1"/>
    <n v="0"/>
    <n v="0"/>
    <n v="16"/>
    <n v="3"/>
    <n v="95"/>
    <n v="25"/>
    <n v="2"/>
    <n v="1"/>
    <n v="1"/>
    <x v="43"/>
    <x v="0"/>
    <x v="0"/>
    <x v="1"/>
    <x v="1"/>
    <s v="Normal"/>
    <s v="Normal"/>
    <x v="3"/>
  </r>
  <r>
    <x v="44"/>
    <x v="3"/>
    <s v="Cold"/>
    <n v="150"/>
    <n v="4"/>
    <n v="3"/>
    <n v="95"/>
    <n v="3"/>
    <n v="16"/>
    <n v="11"/>
    <n v="170"/>
    <n v="25"/>
    <n v="3"/>
    <n v="1"/>
    <n v="1"/>
    <x v="44"/>
    <x v="0"/>
    <x v="0"/>
    <x v="0"/>
    <x v="1"/>
    <s v="High Calories"/>
    <s v="Normal"/>
    <x v="0"/>
  </r>
  <r>
    <x v="45"/>
    <x v="3"/>
    <s v="Cold"/>
    <n v="150"/>
    <n v="4"/>
    <n v="3"/>
    <n v="150"/>
    <n v="3"/>
    <n v="16"/>
    <n v="11"/>
    <n v="170"/>
    <n v="25"/>
    <n v="3"/>
    <n v="1"/>
    <n v="1"/>
    <x v="45"/>
    <x v="0"/>
    <x v="0"/>
    <x v="0"/>
    <x v="1"/>
    <s v="High Calories"/>
    <s v="Normal"/>
    <x v="0"/>
  </r>
  <r>
    <x v="46"/>
    <x v="2"/>
    <s v="Cold"/>
    <n v="160"/>
    <n v="3"/>
    <n v="2"/>
    <n v="150"/>
    <n v="3"/>
    <n v="17"/>
    <n v="13"/>
    <n v="160"/>
    <n v="25"/>
    <n v="3"/>
    <n v="1.5"/>
    <n v="0.67"/>
    <x v="46"/>
    <x v="0"/>
    <x v="0"/>
    <x v="0"/>
    <x v="1"/>
    <s v="High Calories"/>
    <s v="Normal"/>
    <x v="0"/>
  </r>
  <r>
    <x v="47"/>
    <x v="4"/>
    <s v="Cold"/>
    <n v="100"/>
    <n v="2"/>
    <n v="1"/>
    <n v="220"/>
    <n v="2"/>
    <n v="15"/>
    <n v="6"/>
    <n v="90"/>
    <n v="25"/>
    <n v="1"/>
    <n v="1"/>
    <n v="1"/>
    <x v="47"/>
    <x v="0"/>
    <x v="0"/>
    <x v="0"/>
    <x v="1"/>
    <s v="Normal"/>
    <s v="High Sodium"/>
    <x v="0"/>
  </r>
  <r>
    <x v="48"/>
    <x v="2"/>
    <s v="Cold"/>
    <n v="120"/>
    <n v="2"/>
    <n v="1"/>
    <n v="190"/>
    <n v="0"/>
    <n v="15"/>
    <n v="9"/>
    <n v="40"/>
    <n v="25"/>
    <n v="2"/>
    <n v="1"/>
    <n v="0.67"/>
    <x v="48"/>
    <x v="0"/>
    <x v="0"/>
    <x v="0"/>
    <x v="1"/>
    <s v="High Calories"/>
    <s v="Normal"/>
    <x v="0"/>
  </r>
  <r>
    <x v="49"/>
    <x v="2"/>
    <s v="Cold"/>
    <n v="140"/>
    <n v="3"/>
    <n v="2"/>
    <n v="220"/>
    <n v="3"/>
    <n v="21"/>
    <n v="7"/>
    <n v="130"/>
    <n v="25"/>
    <n v="3"/>
    <n v="1.33"/>
    <n v="0.67"/>
    <x v="49"/>
    <x v="0"/>
    <x v="0"/>
    <x v="0"/>
    <x v="1"/>
    <s v="High Calories"/>
    <s v="High Sodium"/>
    <x v="0"/>
  </r>
  <r>
    <x v="50"/>
    <x v="2"/>
    <s v="Cold"/>
    <n v="90"/>
    <n v="3"/>
    <n v="0"/>
    <n v="170"/>
    <n v="3"/>
    <n v="18"/>
    <n v="2"/>
    <n v="90"/>
    <n v="25"/>
    <n v="3"/>
    <n v="1"/>
    <n v="1"/>
    <x v="50"/>
    <x v="1"/>
    <x v="1"/>
    <x v="1"/>
    <x v="1"/>
    <s v="Normal"/>
    <s v="Normal"/>
    <x v="3"/>
  </r>
  <r>
    <x v="51"/>
    <x v="4"/>
    <s v="Cold"/>
    <n v="130"/>
    <n v="3"/>
    <n v="2"/>
    <n v="170"/>
    <n v="1.5"/>
    <n v="13.5"/>
    <n v="10"/>
    <n v="120"/>
    <n v="25"/>
    <n v="3"/>
    <n v="1.25"/>
    <n v="0.5"/>
    <x v="51"/>
    <x v="0"/>
    <x v="0"/>
    <x v="0"/>
    <x v="1"/>
    <s v="High Calories"/>
    <s v="Normal"/>
    <x v="0"/>
  </r>
  <r>
    <x v="52"/>
    <x v="5"/>
    <s v="Cold"/>
    <n v="120"/>
    <n v="3"/>
    <n v="1"/>
    <n v="200"/>
    <n v="6"/>
    <n v="11"/>
    <n v="14"/>
    <n v="260"/>
    <n v="25"/>
    <n v="3"/>
    <n v="1.33"/>
    <n v="0.67"/>
    <x v="52"/>
    <x v="0"/>
    <x v="0"/>
    <x v="0"/>
    <x v="0"/>
    <s v="High Calories"/>
    <s v="High Sodium"/>
    <x v="0"/>
  </r>
  <r>
    <x v="53"/>
    <x v="2"/>
    <s v="Cold"/>
    <n v="100"/>
    <n v="3"/>
    <n v="0"/>
    <n v="320"/>
    <n v="1"/>
    <n v="20"/>
    <n v="3"/>
    <n v="45"/>
    <n v="100"/>
    <n v="3"/>
    <n v="1"/>
    <n v="1"/>
    <x v="53"/>
    <x v="0"/>
    <x v="0"/>
    <x v="1"/>
    <x v="1"/>
    <s v="Normal"/>
    <s v="High Sodium"/>
    <x v="3"/>
  </r>
  <r>
    <x v="54"/>
    <x v="1"/>
    <s v="Cold"/>
    <n v="50"/>
    <n v="1"/>
    <n v="0"/>
    <n v="0"/>
    <n v="0"/>
    <n v="13"/>
    <n v="0"/>
    <n v="15"/>
    <n v="0"/>
    <n v="3"/>
    <n v="0.5"/>
    <n v="1"/>
    <x v="54"/>
    <x v="0"/>
    <x v="0"/>
    <x v="1"/>
    <x v="1"/>
    <s v="Normal"/>
    <s v="Normal"/>
    <x v="3"/>
  </r>
  <r>
    <x v="55"/>
    <x v="1"/>
    <s v="Cold"/>
    <n v="50"/>
    <n v="2"/>
    <n v="0"/>
    <n v="0"/>
    <n v="1"/>
    <n v="10"/>
    <n v="0"/>
    <n v="50"/>
    <n v="0"/>
    <n v="3"/>
    <n v="0.5"/>
    <n v="1"/>
    <x v="55"/>
    <x v="0"/>
    <x v="0"/>
    <x v="1"/>
    <x v="1"/>
    <s v="Normal"/>
    <s v="Normal"/>
    <x v="3"/>
  </r>
  <r>
    <x v="56"/>
    <x v="1"/>
    <s v="Cold"/>
    <n v="100"/>
    <n v="4"/>
    <n v="1"/>
    <n v="135"/>
    <n v="2"/>
    <n v="14"/>
    <n v="6"/>
    <n v="110"/>
    <n v="25"/>
    <n v="3"/>
    <n v="1"/>
    <n v="0.5"/>
    <x v="56"/>
    <x v="0"/>
    <x v="0"/>
    <x v="0"/>
    <x v="1"/>
    <s v="Normal"/>
    <s v="Normal"/>
    <x v="0"/>
  </r>
  <r>
    <x v="57"/>
    <x v="1"/>
    <s v="Hot"/>
    <n v="100"/>
    <n v="5"/>
    <n v="2"/>
    <n v="0"/>
    <n v="2.7"/>
    <n v="-1"/>
    <n v="-1"/>
    <n v="110"/>
    <n v="0"/>
    <n v="1"/>
    <n v="1"/>
    <n v="0.67"/>
    <x v="57"/>
    <x v="0"/>
    <x v="0"/>
    <x v="1"/>
    <x v="1"/>
    <s v="Normal"/>
    <s v="Normal"/>
    <x v="3"/>
  </r>
  <r>
    <x v="58"/>
    <x v="2"/>
    <s v="Cold"/>
    <n v="120"/>
    <n v="3"/>
    <n v="1"/>
    <n v="210"/>
    <n v="5"/>
    <n v="14"/>
    <n v="12"/>
    <n v="240"/>
    <n v="25"/>
    <n v="2"/>
    <n v="1.33"/>
    <n v="0.75"/>
    <x v="58"/>
    <x v="0"/>
    <x v="0"/>
    <x v="0"/>
    <x v="0"/>
    <s v="High Calories"/>
    <s v="High Sodium"/>
    <x v="0"/>
  </r>
  <r>
    <x v="59"/>
    <x v="4"/>
    <s v="Cold"/>
    <n v="100"/>
    <n v="3"/>
    <n v="2"/>
    <n v="140"/>
    <n v="2.5"/>
    <n v="10.5"/>
    <n v="8"/>
    <n v="140"/>
    <n v="25"/>
    <n v="3"/>
    <n v="1"/>
    <n v="0.5"/>
    <x v="59"/>
    <x v="0"/>
    <x v="0"/>
    <x v="0"/>
    <x v="1"/>
    <s v="Normal"/>
    <s v="Normal"/>
    <x v="0"/>
  </r>
  <r>
    <x v="60"/>
    <x v="2"/>
    <s v="Cold"/>
    <n v="90"/>
    <n v="2"/>
    <n v="0"/>
    <n v="0"/>
    <n v="2"/>
    <n v="15"/>
    <n v="6"/>
    <n v="110"/>
    <n v="25"/>
    <n v="3"/>
    <n v="1"/>
    <n v="0.5"/>
    <x v="60"/>
    <x v="0"/>
    <x v="0"/>
    <x v="0"/>
    <x v="1"/>
    <s v="Normal"/>
    <s v="Normal"/>
    <x v="0"/>
  </r>
  <r>
    <x v="61"/>
    <x v="3"/>
    <s v="Cold"/>
    <n v="110"/>
    <n v="1"/>
    <n v="0"/>
    <n v="240"/>
    <n v="0"/>
    <n v="23"/>
    <n v="2"/>
    <n v="30"/>
    <n v="25"/>
    <n v="1"/>
    <n v="1"/>
    <n v="1.1299999999999999"/>
    <x v="61"/>
    <x v="0"/>
    <x v="0"/>
    <x v="1"/>
    <x v="1"/>
    <s v="Normal"/>
    <s v="High Sodium"/>
    <x v="3"/>
  </r>
  <r>
    <x v="62"/>
    <x v="2"/>
    <s v="Cold"/>
    <n v="110"/>
    <n v="2"/>
    <n v="0"/>
    <n v="290"/>
    <n v="0"/>
    <n v="22"/>
    <n v="3"/>
    <n v="35"/>
    <n v="25"/>
    <n v="1"/>
    <n v="1"/>
    <n v="1"/>
    <x v="62"/>
    <x v="0"/>
    <x v="0"/>
    <x v="1"/>
    <x v="1"/>
    <s v="Normal"/>
    <s v="High Sodium"/>
    <x v="3"/>
  </r>
  <r>
    <x v="63"/>
    <x v="0"/>
    <s v="Cold"/>
    <n v="80"/>
    <n v="2"/>
    <n v="0"/>
    <n v="0"/>
    <n v="3"/>
    <n v="16"/>
    <n v="0"/>
    <n v="95"/>
    <n v="0"/>
    <n v="1"/>
    <n v="0.83"/>
    <n v="1"/>
    <x v="63"/>
    <x v="1"/>
    <x v="1"/>
    <x v="1"/>
    <x v="1"/>
    <s v="Normal"/>
    <s v="Normal"/>
    <x v="3"/>
  </r>
  <r>
    <x v="64"/>
    <x v="0"/>
    <s v="Cold"/>
    <n v="90"/>
    <n v="3"/>
    <n v="0"/>
    <n v="0"/>
    <n v="4"/>
    <n v="19"/>
    <n v="0"/>
    <n v="140"/>
    <n v="0"/>
    <n v="1"/>
    <n v="1"/>
    <n v="0.67"/>
    <x v="64"/>
    <x v="1"/>
    <x v="1"/>
    <x v="1"/>
    <x v="0"/>
    <s v="Normal"/>
    <s v="Normal"/>
    <x v="2"/>
  </r>
  <r>
    <x v="65"/>
    <x v="0"/>
    <s v="Cold"/>
    <n v="90"/>
    <n v="3"/>
    <n v="0"/>
    <n v="0"/>
    <n v="3"/>
    <n v="20"/>
    <n v="0"/>
    <n v="120"/>
    <n v="0"/>
    <n v="1"/>
    <n v="1"/>
    <n v="0.67"/>
    <x v="65"/>
    <x v="1"/>
    <x v="1"/>
    <x v="1"/>
    <x v="1"/>
    <s v="Normal"/>
    <s v="Normal"/>
    <x v="3"/>
  </r>
  <r>
    <x v="66"/>
    <x v="2"/>
    <s v="Cold"/>
    <n v="110"/>
    <n v="2"/>
    <n v="1"/>
    <n v="70"/>
    <n v="1"/>
    <n v="9"/>
    <n v="15"/>
    <n v="40"/>
    <n v="25"/>
    <n v="2"/>
    <n v="1"/>
    <n v="0.75"/>
    <x v="66"/>
    <x v="0"/>
    <x v="0"/>
    <x v="0"/>
    <x v="1"/>
    <s v="Normal"/>
    <s v="Normal"/>
    <x v="0"/>
  </r>
  <r>
    <x v="67"/>
    <x v="2"/>
    <s v="Cold"/>
    <n v="110"/>
    <n v="6"/>
    <n v="0"/>
    <n v="230"/>
    <n v="1"/>
    <n v="16"/>
    <n v="3"/>
    <n v="55"/>
    <n v="25"/>
    <n v="1"/>
    <n v="1"/>
    <n v="1"/>
    <x v="67"/>
    <x v="0"/>
    <x v="0"/>
    <x v="1"/>
    <x v="1"/>
    <s v="Normal"/>
    <s v="High Sodium"/>
    <x v="3"/>
  </r>
  <r>
    <x v="68"/>
    <x v="0"/>
    <s v="Cold"/>
    <n v="90"/>
    <n v="2"/>
    <n v="0"/>
    <n v="15"/>
    <n v="3"/>
    <n v="15"/>
    <n v="5"/>
    <n v="90"/>
    <n v="25"/>
    <n v="2"/>
    <n v="1"/>
    <n v="1"/>
    <x v="68"/>
    <x v="1"/>
    <x v="1"/>
    <x v="1"/>
    <x v="1"/>
    <s v="Normal"/>
    <s v="Normal"/>
    <x v="3"/>
  </r>
  <r>
    <x v="69"/>
    <x v="4"/>
    <s v="Cold"/>
    <n v="110"/>
    <n v="2"/>
    <n v="1"/>
    <n v="200"/>
    <n v="0"/>
    <n v="21"/>
    <n v="3"/>
    <n v="35"/>
    <n v="100"/>
    <n v="3"/>
    <n v="1"/>
    <n v="1"/>
    <x v="69"/>
    <x v="0"/>
    <x v="0"/>
    <x v="1"/>
    <x v="1"/>
    <s v="Normal"/>
    <s v="High Sodium"/>
    <x v="3"/>
  </r>
  <r>
    <x v="70"/>
    <x v="4"/>
    <s v="Cold"/>
    <n v="140"/>
    <n v="3"/>
    <n v="1"/>
    <n v="190"/>
    <n v="4"/>
    <n v="15"/>
    <n v="14"/>
    <n v="230"/>
    <n v="100"/>
    <n v="3"/>
    <n v="1.5"/>
    <n v="1"/>
    <x v="70"/>
    <x v="0"/>
    <x v="0"/>
    <x v="0"/>
    <x v="0"/>
    <s v="High Calories"/>
    <s v="Normal"/>
    <x v="0"/>
  </r>
  <r>
    <x v="71"/>
    <x v="4"/>
    <s v="Cold"/>
    <n v="100"/>
    <n v="3"/>
    <n v="1"/>
    <n v="200"/>
    <n v="3"/>
    <n v="16"/>
    <n v="3"/>
    <n v="110"/>
    <n v="100"/>
    <n v="3"/>
    <n v="1"/>
    <n v="1"/>
    <x v="71"/>
    <x v="1"/>
    <x v="1"/>
    <x v="1"/>
    <x v="1"/>
    <s v="Normal"/>
    <s v="High Sodium"/>
    <x v="3"/>
  </r>
  <r>
    <x v="72"/>
    <x v="4"/>
    <s v="Cold"/>
    <n v="110"/>
    <n v="2"/>
    <n v="1"/>
    <n v="250"/>
    <n v="0"/>
    <n v="21"/>
    <n v="3"/>
    <n v="60"/>
    <n v="25"/>
    <n v="3"/>
    <n v="1"/>
    <n v="0.75"/>
    <x v="72"/>
    <x v="0"/>
    <x v="0"/>
    <x v="1"/>
    <x v="1"/>
    <s v="Normal"/>
    <s v="High Sodium"/>
    <x v="3"/>
  </r>
  <r>
    <x v="73"/>
    <x v="4"/>
    <s v="Cold"/>
    <n v="110"/>
    <n v="1"/>
    <n v="1"/>
    <n v="140"/>
    <n v="0"/>
    <n v="13"/>
    <n v="12"/>
    <n v="25"/>
    <n v="25"/>
    <n v="2"/>
    <n v="1"/>
    <n v="1"/>
    <x v="73"/>
    <x v="0"/>
    <x v="0"/>
    <x v="0"/>
    <x v="1"/>
    <s v="Normal"/>
    <s v="Normal"/>
    <x v="0"/>
  </r>
  <r>
    <x v="74"/>
    <x v="3"/>
    <s v="Cold"/>
    <n v="100"/>
    <n v="3"/>
    <n v="1"/>
    <n v="230"/>
    <n v="3"/>
    <n v="17"/>
    <n v="3"/>
    <n v="115"/>
    <n v="25"/>
    <n v="1"/>
    <n v="1"/>
    <n v="0.67"/>
    <x v="74"/>
    <x v="0"/>
    <x v="0"/>
    <x v="1"/>
    <x v="1"/>
    <s v="Normal"/>
    <s v="High Sodium"/>
    <x v="3"/>
  </r>
  <r>
    <x v="75"/>
    <x v="4"/>
    <s v="Cold"/>
    <n v="100"/>
    <n v="3"/>
    <n v="1"/>
    <n v="200"/>
    <n v="3"/>
    <n v="17"/>
    <n v="3"/>
    <n v="110"/>
    <n v="25"/>
    <n v="1"/>
    <n v="1"/>
    <n v="1"/>
    <x v="75"/>
    <x v="1"/>
    <x v="1"/>
    <x v="1"/>
    <x v="1"/>
    <s v="Normal"/>
    <s v="High Sodium"/>
    <x v="3"/>
  </r>
  <r>
    <x v="76"/>
    <x v="4"/>
    <s v="Cold"/>
    <n v="110"/>
    <n v="2"/>
    <n v="1"/>
    <n v="200"/>
    <n v="1"/>
    <n v="16"/>
    <n v="8"/>
    <n v="60"/>
    <n v="25"/>
    <n v="1"/>
    <n v="1"/>
    <n v="0.75"/>
    <x v="76"/>
    <x v="0"/>
    <x v="0"/>
    <x v="0"/>
    <x v="1"/>
    <s v="Normal"/>
    <s v="High Sodium"/>
    <x v="0"/>
  </r>
  <r>
    <x v="77"/>
    <x v="7"/>
    <m/>
    <m/>
    <m/>
    <m/>
    <m/>
    <m/>
    <m/>
    <m/>
    <m/>
    <m/>
    <m/>
    <m/>
    <m/>
    <x v="77"/>
    <x v="2"/>
    <x v="2"/>
    <x v="2"/>
    <x v="2"/>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I2:K19" firstHeaderRow="1" firstDataRow="1" firstDataCol="0"/>
  <pivotFields count="23">
    <pivotField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items count="9">
        <item x="6"/>
        <item x="4"/>
        <item x="2"/>
        <item x="0"/>
        <item x="5"/>
        <item x="1"/>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items count="6">
        <item h="1" x="2"/>
        <item x="1"/>
        <item x="0"/>
        <item x="3"/>
        <item h="1"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17:F20" firstHeaderRow="1" firstDataRow="1" firstDataCol="1"/>
  <pivotFields count="23">
    <pivotField showAll="0"/>
    <pivotField showAll="0">
      <items count="9">
        <item x="6"/>
        <item x="4"/>
        <item x="2"/>
        <item x="0"/>
        <item x="5"/>
        <item x="1"/>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0"/>
        <item x="2"/>
        <item t="default"/>
      </items>
    </pivotField>
    <pivotField showAll="0"/>
    <pivotField showAll="0"/>
    <pivotField axis="axisRow" showAll="0">
      <items count="4">
        <item x="1"/>
        <item x="0"/>
        <item x="2"/>
        <item t="default"/>
      </items>
    </pivotField>
    <pivotField showAll="0"/>
    <pivotField showAll="0"/>
    <pivotField showAll="0">
      <items count="6">
        <item h="1" x="2"/>
        <item x="1"/>
        <item x="0"/>
        <item x="3"/>
        <item h="1" x="4"/>
        <item t="default"/>
      </items>
    </pivotField>
  </pivotFields>
  <rowFields count="1">
    <field x="19"/>
  </rowFields>
  <rowItems count="3">
    <i>
      <x/>
    </i>
    <i>
      <x v="1"/>
    </i>
    <i t="grand">
      <x/>
    </i>
  </rowItems>
  <colItems count="1">
    <i/>
  </colItems>
  <dataFields count="1">
    <dataField name="Count of Rating"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20:B23" firstHeaderRow="1" firstDataRow="1" firstDataCol="1"/>
  <pivotFields count="23">
    <pivotField showAll="0"/>
    <pivotField showAll="0">
      <items count="9">
        <item x="6"/>
        <item x="4"/>
        <item x="2"/>
        <item x="0"/>
        <item x="5"/>
        <item x="1"/>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79">
        <item x="10"/>
        <item x="12"/>
        <item x="35"/>
        <item x="18"/>
        <item x="14"/>
        <item x="31"/>
        <item x="42"/>
        <item x="73"/>
        <item x="29"/>
        <item x="70"/>
        <item x="37"/>
        <item x="5"/>
        <item x="48"/>
        <item x="46"/>
        <item x="51"/>
        <item x="36"/>
        <item x="66"/>
        <item x="25"/>
        <item x="24"/>
        <item x="6"/>
        <item x="1"/>
        <item x="45"/>
        <item x="4"/>
        <item x="30"/>
        <item x="17"/>
        <item x="22"/>
        <item x="76"/>
        <item x="39"/>
        <item x="38"/>
        <item x="7"/>
        <item x="44"/>
        <item x="52"/>
        <item x="69"/>
        <item x="72"/>
        <item x="40"/>
        <item x="58"/>
        <item x="59"/>
        <item x="47"/>
        <item x="13"/>
        <item x="19"/>
        <item x="62"/>
        <item x="49"/>
        <item x="27"/>
        <item x="28"/>
        <item x="15"/>
        <item x="53"/>
        <item x="61"/>
        <item x="23"/>
        <item x="41"/>
        <item x="34"/>
        <item x="16"/>
        <item x="71"/>
        <item x="21"/>
        <item x="8"/>
        <item x="56"/>
        <item x="74"/>
        <item x="11"/>
        <item x="57"/>
        <item x="75"/>
        <item x="32"/>
        <item x="67"/>
        <item x="9"/>
        <item x="33"/>
        <item x="43"/>
        <item x="60"/>
        <item x="26"/>
        <item x="68"/>
        <item x="2"/>
        <item x="50"/>
        <item x="54"/>
        <item x="55"/>
        <item x="20"/>
        <item x="63"/>
        <item x="0"/>
        <item x="65"/>
        <item x="64"/>
        <item x="3"/>
        <item x="77"/>
        <item t="default"/>
      </items>
    </pivotField>
    <pivotField showAll="0">
      <items count="4">
        <item x="1"/>
        <item x="0"/>
        <item x="2"/>
        <item t="default"/>
      </items>
    </pivotField>
    <pivotField showAll="0"/>
    <pivotField axis="axisRow" showAll="0">
      <items count="4">
        <item x="0"/>
        <item x="1"/>
        <item h="1" x="2"/>
        <item t="default"/>
      </items>
    </pivotField>
    <pivotField showAll="0">
      <items count="4">
        <item x="1"/>
        <item x="0"/>
        <item x="2"/>
        <item t="default"/>
      </items>
    </pivotField>
    <pivotField showAll="0"/>
    <pivotField showAll="0"/>
    <pivotField showAll="0">
      <items count="6">
        <item h="1" x="2"/>
        <item x="1"/>
        <item x="0"/>
        <item x="3"/>
        <item h="1" x="4"/>
        <item t="default"/>
      </items>
    </pivotField>
  </pivotFields>
  <rowFields count="1">
    <field x="18"/>
  </rowFields>
  <rowItems count="3">
    <i>
      <x/>
    </i>
    <i>
      <x v="1"/>
    </i>
    <i t="grand">
      <x/>
    </i>
  </rowItems>
  <colItems count="1">
    <i/>
  </colItems>
  <dataFields count="1">
    <dataField name="Count of Rating" fld="15" subtotal="count"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8" count="1" selected="0">
            <x v="1"/>
          </reference>
        </references>
      </pivotArea>
    </chartFormat>
    <chartFormat chart="9" format="4">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10:B14" firstHeaderRow="1" firstDataRow="1" firstDataCol="1"/>
  <pivotFields count="23">
    <pivotField dataField="1" showAll="0"/>
    <pivotField showAll="0">
      <items count="9">
        <item x="6"/>
        <item x="4"/>
        <item x="2"/>
        <item x="0"/>
        <item x="5"/>
        <item x="1"/>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axis="axisRow" showAll="0">
      <items count="6">
        <item h="1" x="2"/>
        <item x="1"/>
        <item x="0"/>
        <item x="3"/>
        <item h="1" x="4"/>
        <item t="default"/>
      </items>
    </pivotField>
  </pivotFields>
  <rowFields count="1">
    <field x="22"/>
  </rowFields>
  <rowItems count="4">
    <i>
      <x v="1"/>
    </i>
    <i>
      <x v="2"/>
    </i>
    <i>
      <x v="3"/>
    </i>
    <i t="grand">
      <x/>
    </i>
  </rowItems>
  <colItems count="1">
    <i/>
  </colItems>
  <dataFields count="1">
    <dataField name="Count of Cereal Name" fld="0" subtotal="count" baseField="22"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E2:F13" firstHeaderRow="1" firstDataRow="1" firstDataCol="1"/>
  <pivotFields count="23">
    <pivotField axis="axisRow" showAll="0" measureFilter="1" sortType="ascending">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items count="9">
        <item x="6"/>
        <item x="4"/>
        <item x="2"/>
        <item x="0"/>
        <item x="5"/>
        <item x="1"/>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0"/>
        <item x="2"/>
        <item t="default"/>
      </items>
    </pivotField>
    <pivotField showAll="0"/>
    <pivotField showAll="0"/>
    <pivotField showAll="0"/>
    <pivotField showAll="0"/>
    <pivotField showAll="0"/>
    <pivotField showAll="0">
      <items count="6">
        <item h="1" x="2"/>
        <item x="1"/>
        <item x="0"/>
        <item x="3"/>
        <item h="1" x="4"/>
        <item t="default"/>
      </items>
    </pivotField>
  </pivotFields>
  <rowFields count="1">
    <field x="0"/>
  </rowFields>
  <rowItems count="11">
    <i>
      <x/>
    </i>
    <i>
      <x v="2"/>
    </i>
    <i>
      <x v="20"/>
    </i>
    <i>
      <x v="26"/>
    </i>
    <i>
      <x v="50"/>
    </i>
    <i>
      <x v="54"/>
    </i>
    <i>
      <x v="55"/>
    </i>
    <i>
      <x v="63"/>
    </i>
    <i>
      <x v="65"/>
    </i>
    <i>
      <x v="68"/>
    </i>
    <i t="grand">
      <x/>
    </i>
  </rowItems>
  <colItems count="1">
    <i/>
  </colItems>
  <dataFields count="1">
    <dataField name="Average of Rating" fld="15" subtotal="average" baseField="0" baseItem="0"/>
  </dataFields>
  <chartFormats count="1">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2:B5" firstHeaderRow="1" firstDataRow="1" firstDataCol="1"/>
  <pivotFields count="23">
    <pivotField dataField="1"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items count="9">
        <item x="6"/>
        <item x="4"/>
        <item x="2"/>
        <item x="0"/>
        <item x="5"/>
        <item x="1"/>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items count="6">
        <item h="1" x="2"/>
        <item x="1"/>
        <item x="0"/>
        <item x="3"/>
        <item h="1" x="4"/>
        <item t="default"/>
      </items>
    </pivotField>
  </pivotFields>
  <rowFields count="1">
    <field x="16"/>
  </rowFields>
  <rowItems count="3">
    <i>
      <x/>
    </i>
    <i>
      <x v="1"/>
    </i>
    <i t="grand">
      <x/>
    </i>
  </rowItems>
  <colItems count="1">
    <i/>
  </colItems>
  <dataFields count="1">
    <dataField name="Count of Cereal Name" fld="0" subtotal="count" baseField="0" baseItem="0"/>
  </dataFields>
  <chartFormats count="4">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6" count="1" selected="0">
            <x v="0"/>
          </reference>
        </references>
      </pivotArea>
    </chartFormat>
    <chartFormat chart="7" format="15">
      <pivotArea type="data" outline="0" fieldPosition="0">
        <references count="2">
          <reference field="4294967294" count="1" selected="0">
            <x v="0"/>
          </reference>
          <reference field="16" count="1" selected="0">
            <x v="1"/>
          </reference>
        </references>
      </pivotArea>
    </chartFormat>
    <chartFormat chart="7" format="16">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nufacturer" sourceName="Manufacturer">
  <pivotTables>
    <pivotTable tabId="14" name="PivotTable6"/>
    <pivotTable tabId="14" name="PivotTable10"/>
    <pivotTable tabId="14" name="PivotTable11"/>
    <pivotTable tabId="14" name="PivotTable7"/>
    <pivotTable tabId="14" name="PivotTable8"/>
    <pivotTable tabId="14" name="PivotTable9"/>
  </pivotTables>
  <data>
    <tabular pivotCacheId="1">
      <items count="8">
        <i x="6" s="1"/>
        <i x="4" s="1"/>
        <i x="2" s="1"/>
        <i x="0" s="1"/>
        <i x="5" s="1"/>
        <i x="1" s="1"/>
        <i x="3"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Health_Score" sourceName="Health Score">
  <pivotTables>
    <pivotTable tabId="14" name="PivotTable6"/>
    <pivotTable tabId="14" name="PivotTable10"/>
    <pivotTable tabId="14" name="PivotTable11"/>
    <pivotTable tabId="14" name="PivotTable7"/>
    <pivotTable tabId="14" name="PivotTable8"/>
    <pivotTable tabId="14" name="PivotTable9"/>
  </pivotTables>
  <data>
    <tabular pivotCacheId="1">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imary_Issue" sourceName="Primary Issue">
  <pivotTables>
    <pivotTable tabId="14" name="PivotTable6"/>
    <pivotTable tabId="14" name="PivotTable10"/>
    <pivotTable tabId="14" name="PivotTable11"/>
    <pivotTable tabId="14" name="PivotTable7"/>
    <pivotTable tabId="14" name="PivotTable8"/>
    <pivotTable tabId="14" name="PivotTable9"/>
  </pivotTables>
  <data>
    <tabular pivotCacheId="1">
      <items count="5">
        <i x="2"/>
        <i x="1" s="1"/>
        <i x="0" s="1"/>
        <i x="3"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nufacturer" cache="Slicer_Manufacturer" caption="Manufacturer" rowHeight="241300"/>
  <slicer name="Health Score" cache="Slicer_Health_Score" caption="Health Score" rowHeight="241300"/>
  <slicer name="Primary Issue" cache="Slicer_Primary_Issue" caption="Primary Issue" startItem="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8"/>
  <sheetViews>
    <sheetView workbookViewId="0">
      <selection activeCell="R14" sqref="R14"/>
    </sheetView>
  </sheetViews>
  <sheetFormatPr defaultRowHeight="15" x14ac:dyDescent="0.25"/>
  <cols>
    <col min="1" max="1" width="35.28515625" bestFit="1" customWidth="1"/>
    <col min="2" max="2" width="28.7109375" bestFit="1" customWidth="1"/>
    <col min="3" max="3" width="12" customWidth="1"/>
    <col min="4" max="4" width="12.42578125" customWidth="1"/>
    <col min="5" max="5" width="12.85546875" customWidth="1"/>
    <col min="6" max="6" width="7.42578125" customWidth="1"/>
    <col min="7" max="7" width="12.42578125" customWidth="1"/>
    <col min="8" max="8" width="10.7109375" customWidth="1"/>
    <col min="9" max="9" width="15.42578125" bestFit="1" customWidth="1"/>
    <col min="10" max="10" width="11.42578125" customWidth="1"/>
    <col min="11" max="11" width="15.42578125" customWidth="1"/>
    <col min="12" max="12" width="14.7109375" customWidth="1"/>
    <col min="13" max="13" width="10" customWidth="1"/>
    <col min="14" max="14" width="13.42578125" customWidth="1"/>
    <col min="15" max="15" width="11.28515625" customWidth="1"/>
    <col min="16" max="16" width="10" bestFit="1" customWidth="1"/>
  </cols>
  <sheetData>
    <row r="1" spans="1:16" x14ac:dyDescent="0.25">
      <c r="A1" s="1" t="s">
        <v>77</v>
      </c>
      <c r="B1" s="1" t="s">
        <v>78</v>
      </c>
      <c r="C1" s="1" t="s">
        <v>88</v>
      </c>
      <c r="D1" s="2" t="s">
        <v>89</v>
      </c>
      <c r="E1" s="2" t="s">
        <v>90</v>
      </c>
      <c r="F1" s="2" t="s">
        <v>91</v>
      </c>
      <c r="G1" s="2" t="s">
        <v>92</v>
      </c>
      <c r="H1" s="2" t="s">
        <v>93</v>
      </c>
      <c r="I1" s="2" t="s">
        <v>94</v>
      </c>
      <c r="J1" s="2" t="s">
        <v>95</v>
      </c>
      <c r="K1" s="2" t="s">
        <v>96</v>
      </c>
      <c r="L1" s="2" t="s">
        <v>97</v>
      </c>
      <c r="M1" s="2" t="s">
        <v>98</v>
      </c>
      <c r="N1" s="2" t="s">
        <v>99</v>
      </c>
      <c r="O1" s="2" t="s">
        <v>100</v>
      </c>
      <c r="P1" s="2" t="s">
        <v>101</v>
      </c>
    </row>
    <row r="2" spans="1:16" x14ac:dyDescent="0.25">
      <c r="A2" t="s">
        <v>0</v>
      </c>
      <c r="B2" t="s">
        <v>82</v>
      </c>
      <c r="C2" t="s">
        <v>86</v>
      </c>
      <c r="D2">
        <v>70</v>
      </c>
      <c r="E2">
        <v>4</v>
      </c>
      <c r="F2">
        <v>1</v>
      </c>
      <c r="G2">
        <v>130</v>
      </c>
      <c r="H2">
        <v>10</v>
      </c>
      <c r="I2">
        <v>5</v>
      </c>
      <c r="J2">
        <v>6</v>
      </c>
      <c r="K2">
        <v>280</v>
      </c>
      <c r="L2">
        <v>25</v>
      </c>
      <c r="M2">
        <v>3</v>
      </c>
      <c r="N2">
        <v>1</v>
      </c>
      <c r="O2">
        <v>0.33</v>
      </c>
      <c r="P2">
        <v>68.402973000000003</v>
      </c>
    </row>
    <row r="3" spans="1:16" x14ac:dyDescent="0.25">
      <c r="A3" t="s">
        <v>1</v>
      </c>
      <c r="B3" t="s">
        <v>84</v>
      </c>
      <c r="C3" t="s">
        <v>86</v>
      </c>
      <c r="D3">
        <v>120</v>
      </c>
      <c r="E3">
        <v>3</v>
      </c>
      <c r="F3">
        <v>5</v>
      </c>
      <c r="G3">
        <v>15</v>
      </c>
      <c r="H3">
        <v>2</v>
      </c>
      <c r="I3">
        <v>8</v>
      </c>
      <c r="J3">
        <v>8</v>
      </c>
      <c r="K3">
        <v>135</v>
      </c>
      <c r="L3">
        <v>0</v>
      </c>
      <c r="M3">
        <v>3</v>
      </c>
      <c r="N3">
        <v>1</v>
      </c>
      <c r="O3">
        <v>1</v>
      </c>
      <c r="P3">
        <v>33.983679000000002</v>
      </c>
    </row>
    <row r="4" spans="1:16" x14ac:dyDescent="0.25">
      <c r="A4" t="s">
        <v>2</v>
      </c>
      <c r="B4" t="s">
        <v>81</v>
      </c>
      <c r="C4" t="s">
        <v>86</v>
      </c>
      <c r="D4">
        <v>70</v>
      </c>
      <c r="E4">
        <v>4</v>
      </c>
      <c r="F4">
        <v>1</v>
      </c>
      <c r="G4">
        <v>260</v>
      </c>
      <c r="H4">
        <v>9</v>
      </c>
      <c r="I4">
        <v>7</v>
      </c>
      <c r="J4">
        <v>5</v>
      </c>
      <c r="K4">
        <v>320</v>
      </c>
      <c r="L4">
        <v>25</v>
      </c>
      <c r="M4">
        <v>3</v>
      </c>
      <c r="N4">
        <v>1</v>
      </c>
      <c r="O4">
        <v>0.33</v>
      </c>
      <c r="P4">
        <v>59.425505000000001</v>
      </c>
    </row>
    <row r="5" spans="1:16" x14ac:dyDescent="0.25">
      <c r="A5" t="s">
        <v>3</v>
      </c>
      <c r="B5" t="s">
        <v>81</v>
      </c>
      <c r="C5" t="s">
        <v>86</v>
      </c>
      <c r="D5">
        <v>50</v>
      </c>
      <c r="E5">
        <v>4</v>
      </c>
      <c r="F5">
        <v>0</v>
      </c>
      <c r="G5">
        <v>140</v>
      </c>
      <c r="H5">
        <v>14</v>
      </c>
      <c r="I5">
        <v>8</v>
      </c>
      <c r="J5">
        <v>0</v>
      </c>
      <c r="K5">
        <v>330</v>
      </c>
      <c r="L5">
        <v>25</v>
      </c>
      <c r="M5">
        <v>3</v>
      </c>
      <c r="N5">
        <v>1</v>
      </c>
      <c r="O5">
        <v>0.5</v>
      </c>
      <c r="P5">
        <v>93.704911999999993</v>
      </c>
    </row>
    <row r="6" spans="1:16" x14ac:dyDescent="0.25">
      <c r="A6" t="s">
        <v>4</v>
      </c>
      <c r="B6" t="s">
        <v>85</v>
      </c>
      <c r="C6" t="s">
        <v>86</v>
      </c>
      <c r="D6">
        <v>110</v>
      </c>
      <c r="E6">
        <v>2</v>
      </c>
      <c r="F6">
        <v>2</v>
      </c>
      <c r="G6">
        <v>200</v>
      </c>
      <c r="H6">
        <v>1</v>
      </c>
      <c r="I6">
        <v>14</v>
      </c>
      <c r="J6">
        <v>8</v>
      </c>
      <c r="K6">
        <v>-1</v>
      </c>
      <c r="L6">
        <v>25</v>
      </c>
      <c r="M6">
        <v>3</v>
      </c>
      <c r="N6">
        <v>1</v>
      </c>
      <c r="O6">
        <v>0.75</v>
      </c>
      <c r="P6">
        <v>34.384842999999996</v>
      </c>
    </row>
    <row r="7" spans="1:16" x14ac:dyDescent="0.25">
      <c r="A7" t="s">
        <v>5</v>
      </c>
      <c r="B7" t="s">
        <v>80</v>
      </c>
      <c r="C7" t="s">
        <v>86</v>
      </c>
      <c r="D7">
        <v>110</v>
      </c>
      <c r="E7">
        <v>2</v>
      </c>
      <c r="F7">
        <v>2</v>
      </c>
      <c r="G7">
        <v>180</v>
      </c>
      <c r="H7">
        <v>1.5</v>
      </c>
      <c r="I7">
        <v>10.5</v>
      </c>
      <c r="J7">
        <v>10</v>
      </c>
      <c r="K7">
        <v>70</v>
      </c>
      <c r="L7">
        <v>25</v>
      </c>
      <c r="M7">
        <v>1</v>
      </c>
      <c r="N7">
        <v>1</v>
      </c>
      <c r="O7">
        <v>0.75</v>
      </c>
      <c r="P7">
        <v>29.509540999999999</v>
      </c>
    </row>
    <row r="8" spans="1:16" x14ac:dyDescent="0.25">
      <c r="A8" t="s">
        <v>6</v>
      </c>
      <c r="B8" t="s">
        <v>81</v>
      </c>
      <c r="C8" t="s">
        <v>86</v>
      </c>
      <c r="D8">
        <v>110</v>
      </c>
      <c r="E8">
        <v>2</v>
      </c>
      <c r="F8">
        <v>0</v>
      </c>
      <c r="G8">
        <v>125</v>
      </c>
      <c r="H8">
        <v>1</v>
      </c>
      <c r="I8">
        <v>11</v>
      </c>
      <c r="J8">
        <v>14</v>
      </c>
      <c r="K8">
        <v>30</v>
      </c>
      <c r="L8">
        <v>25</v>
      </c>
      <c r="M8">
        <v>2</v>
      </c>
      <c r="N8">
        <v>1</v>
      </c>
      <c r="O8">
        <v>1</v>
      </c>
      <c r="P8">
        <v>33.174093999999997</v>
      </c>
    </row>
    <row r="9" spans="1:16" x14ac:dyDescent="0.25">
      <c r="A9" t="s">
        <v>7</v>
      </c>
      <c r="B9" t="s">
        <v>80</v>
      </c>
      <c r="C9" t="s">
        <v>86</v>
      </c>
      <c r="D9">
        <v>130</v>
      </c>
      <c r="E9">
        <v>3</v>
      </c>
      <c r="F9">
        <v>2</v>
      </c>
      <c r="G9">
        <v>210</v>
      </c>
      <c r="H9">
        <v>2</v>
      </c>
      <c r="I9">
        <v>18</v>
      </c>
      <c r="J9">
        <v>8</v>
      </c>
      <c r="K9">
        <v>100</v>
      </c>
      <c r="L9">
        <v>25</v>
      </c>
      <c r="M9">
        <v>3</v>
      </c>
      <c r="N9">
        <v>1.33</v>
      </c>
      <c r="O9">
        <v>0.75</v>
      </c>
      <c r="P9">
        <v>37.038561999999999</v>
      </c>
    </row>
    <row r="10" spans="1:16" x14ac:dyDescent="0.25">
      <c r="A10" t="s">
        <v>8</v>
      </c>
      <c r="B10" t="s">
        <v>85</v>
      </c>
      <c r="C10" t="s">
        <v>86</v>
      </c>
      <c r="D10">
        <v>90</v>
      </c>
      <c r="E10">
        <v>2</v>
      </c>
      <c r="F10">
        <v>1</v>
      </c>
      <c r="G10">
        <v>200</v>
      </c>
      <c r="H10">
        <v>4</v>
      </c>
      <c r="I10">
        <v>15</v>
      </c>
      <c r="J10">
        <v>6</v>
      </c>
      <c r="K10">
        <v>125</v>
      </c>
      <c r="L10">
        <v>25</v>
      </c>
      <c r="M10">
        <v>1</v>
      </c>
      <c r="N10">
        <v>1</v>
      </c>
      <c r="O10">
        <v>0.67</v>
      </c>
      <c r="P10">
        <v>49.120252999999998</v>
      </c>
    </row>
    <row r="11" spans="1:16" x14ac:dyDescent="0.25">
      <c r="A11" t="s">
        <v>9</v>
      </c>
      <c r="B11" t="s">
        <v>83</v>
      </c>
      <c r="C11" t="s">
        <v>86</v>
      </c>
      <c r="D11">
        <v>90</v>
      </c>
      <c r="E11">
        <v>3</v>
      </c>
      <c r="F11">
        <v>0</v>
      </c>
      <c r="G11">
        <v>210</v>
      </c>
      <c r="H11">
        <v>5</v>
      </c>
      <c r="I11">
        <v>13</v>
      </c>
      <c r="J11">
        <v>5</v>
      </c>
      <c r="K11">
        <v>190</v>
      </c>
      <c r="L11">
        <v>25</v>
      </c>
      <c r="M11">
        <v>3</v>
      </c>
      <c r="N11">
        <v>1</v>
      </c>
      <c r="O11">
        <v>0.67</v>
      </c>
      <c r="P11">
        <v>53.313813000000003</v>
      </c>
    </row>
    <row r="12" spans="1:16" x14ac:dyDescent="0.25">
      <c r="A12" t="s">
        <v>10</v>
      </c>
      <c r="B12" t="s">
        <v>84</v>
      </c>
      <c r="C12" t="s">
        <v>86</v>
      </c>
      <c r="D12">
        <v>120</v>
      </c>
      <c r="E12">
        <v>1</v>
      </c>
      <c r="F12">
        <v>2</v>
      </c>
      <c r="G12">
        <v>220</v>
      </c>
      <c r="H12">
        <v>0</v>
      </c>
      <c r="I12">
        <v>12</v>
      </c>
      <c r="J12">
        <v>12</v>
      </c>
      <c r="K12">
        <v>35</v>
      </c>
      <c r="L12">
        <v>25</v>
      </c>
      <c r="M12">
        <v>2</v>
      </c>
      <c r="N12">
        <v>1</v>
      </c>
      <c r="O12">
        <v>0.75</v>
      </c>
      <c r="P12">
        <v>18.042850999999999</v>
      </c>
    </row>
    <row r="13" spans="1:16" x14ac:dyDescent="0.25">
      <c r="A13" t="s">
        <v>11</v>
      </c>
      <c r="B13" t="s">
        <v>80</v>
      </c>
      <c r="C13" t="s">
        <v>86</v>
      </c>
      <c r="D13">
        <v>110</v>
      </c>
      <c r="E13">
        <v>6</v>
      </c>
      <c r="F13">
        <v>2</v>
      </c>
      <c r="G13">
        <v>290</v>
      </c>
      <c r="H13">
        <v>2</v>
      </c>
      <c r="I13">
        <v>17</v>
      </c>
      <c r="J13">
        <v>1</v>
      </c>
      <c r="K13">
        <v>105</v>
      </c>
      <c r="L13">
        <v>25</v>
      </c>
      <c r="M13">
        <v>1</v>
      </c>
      <c r="N13">
        <v>1</v>
      </c>
      <c r="O13">
        <v>1.25</v>
      </c>
      <c r="P13">
        <v>50.764999000000003</v>
      </c>
    </row>
    <row r="14" spans="1:16" x14ac:dyDescent="0.25">
      <c r="A14" t="s">
        <v>12</v>
      </c>
      <c r="B14" t="s">
        <v>80</v>
      </c>
      <c r="C14" t="s">
        <v>86</v>
      </c>
      <c r="D14">
        <v>120</v>
      </c>
      <c r="E14">
        <v>1</v>
      </c>
      <c r="F14">
        <v>3</v>
      </c>
      <c r="G14">
        <v>210</v>
      </c>
      <c r="H14">
        <v>0</v>
      </c>
      <c r="I14">
        <v>13</v>
      </c>
      <c r="J14">
        <v>9</v>
      </c>
      <c r="K14">
        <v>45</v>
      </c>
      <c r="L14">
        <v>25</v>
      </c>
      <c r="M14">
        <v>2</v>
      </c>
      <c r="N14">
        <v>1</v>
      </c>
      <c r="O14">
        <v>0.75</v>
      </c>
      <c r="P14">
        <v>19.823573</v>
      </c>
    </row>
    <row r="15" spans="1:16" x14ac:dyDescent="0.25">
      <c r="A15" t="s">
        <v>13</v>
      </c>
      <c r="B15" t="s">
        <v>80</v>
      </c>
      <c r="C15" t="s">
        <v>86</v>
      </c>
      <c r="D15">
        <v>110</v>
      </c>
      <c r="E15">
        <v>3</v>
      </c>
      <c r="F15">
        <v>2</v>
      </c>
      <c r="G15">
        <v>140</v>
      </c>
      <c r="H15">
        <v>2</v>
      </c>
      <c r="I15">
        <v>13</v>
      </c>
      <c r="J15">
        <v>7</v>
      </c>
      <c r="K15">
        <v>105</v>
      </c>
      <c r="L15">
        <v>25</v>
      </c>
      <c r="M15">
        <v>3</v>
      </c>
      <c r="N15">
        <v>1</v>
      </c>
      <c r="O15">
        <v>0.5</v>
      </c>
      <c r="P15">
        <v>40.400207999999999</v>
      </c>
    </row>
    <row r="16" spans="1:16" x14ac:dyDescent="0.25">
      <c r="A16" t="s">
        <v>14</v>
      </c>
      <c r="B16" t="s">
        <v>80</v>
      </c>
      <c r="C16" t="s">
        <v>86</v>
      </c>
      <c r="D16">
        <v>110</v>
      </c>
      <c r="E16">
        <v>1</v>
      </c>
      <c r="F16">
        <v>1</v>
      </c>
      <c r="G16">
        <v>180</v>
      </c>
      <c r="H16">
        <v>0</v>
      </c>
      <c r="I16">
        <v>12</v>
      </c>
      <c r="J16">
        <v>13</v>
      </c>
      <c r="K16">
        <v>55</v>
      </c>
      <c r="L16">
        <v>25</v>
      </c>
      <c r="M16">
        <v>2</v>
      </c>
      <c r="N16">
        <v>1</v>
      </c>
      <c r="O16">
        <v>1</v>
      </c>
      <c r="P16">
        <v>22.736446000000001</v>
      </c>
    </row>
    <row r="17" spans="1:16" x14ac:dyDescent="0.25">
      <c r="A17" t="s">
        <v>15</v>
      </c>
      <c r="B17" t="s">
        <v>85</v>
      </c>
      <c r="C17" t="s">
        <v>86</v>
      </c>
      <c r="D17">
        <v>110</v>
      </c>
      <c r="E17">
        <v>2</v>
      </c>
      <c r="F17">
        <v>0</v>
      </c>
      <c r="G17">
        <v>280</v>
      </c>
      <c r="H17">
        <v>0</v>
      </c>
      <c r="I17">
        <v>22</v>
      </c>
      <c r="J17">
        <v>3</v>
      </c>
      <c r="K17">
        <v>25</v>
      </c>
      <c r="L17">
        <v>25</v>
      </c>
      <c r="M17">
        <v>1</v>
      </c>
      <c r="N17">
        <v>1</v>
      </c>
      <c r="O17">
        <v>1</v>
      </c>
      <c r="P17">
        <v>41.445019000000002</v>
      </c>
    </row>
    <row r="18" spans="1:16" x14ac:dyDescent="0.25">
      <c r="A18" t="s">
        <v>16</v>
      </c>
      <c r="B18" t="s">
        <v>81</v>
      </c>
      <c r="C18" t="s">
        <v>86</v>
      </c>
      <c r="D18">
        <v>100</v>
      </c>
      <c r="E18">
        <v>2</v>
      </c>
      <c r="F18">
        <v>0</v>
      </c>
      <c r="G18">
        <v>290</v>
      </c>
      <c r="H18">
        <v>1</v>
      </c>
      <c r="I18">
        <v>21</v>
      </c>
      <c r="J18">
        <v>2</v>
      </c>
      <c r="K18">
        <v>35</v>
      </c>
      <c r="L18">
        <v>25</v>
      </c>
      <c r="M18">
        <v>1</v>
      </c>
      <c r="N18">
        <v>1</v>
      </c>
      <c r="O18">
        <v>1</v>
      </c>
      <c r="P18">
        <v>45.863323999999999</v>
      </c>
    </row>
    <row r="19" spans="1:16" x14ac:dyDescent="0.25">
      <c r="A19" t="s">
        <v>17</v>
      </c>
      <c r="B19" t="s">
        <v>81</v>
      </c>
      <c r="C19" t="s">
        <v>86</v>
      </c>
      <c r="D19">
        <v>110</v>
      </c>
      <c r="E19">
        <v>1</v>
      </c>
      <c r="F19">
        <v>0</v>
      </c>
      <c r="G19">
        <v>90</v>
      </c>
      <c r="H19">
        <v>1</v>
      </c>
      <c r="I19">
        <v>13</v>
      </c>
      <c r="J19">
        <v>12</v>
      </c>
      <c r="K19">
        <v>20</v>
      </c>
      <c r="L19">
        <v>25</v>
      </c>
      <c r="M19">
        <v>2</v>
      </c>
      <c r="N19">
        <v>1</v>
      </c>
      <c r="O19">
        <v>1</v>
      </c>
      <c r="P19">
        <v>35.782791000000003</v>
      </c>
    </row>
    <row r="20" spans="1:16" x14ac:dyDescent="0.25">
      <c r="A20" t="s">
        <v>18</v>
      </c>
      <c r="B20" t="s">
        <v>80</v>
      </c>
      <c r="C20" t="s">
        <v>86</v>
      </c>
      <c r="D20">
        <v>110</v>
      </c>
      <c r="E20">
        <v>1</v>
      </c>
      <c r="F20">
        <v>1</v>
      </c>
      <c r="G20">
        <v>180</v>
      </c>
      <c r="H20">
        <v>0</v>
      </c>
      <c r="I20">
        <v>12</v>
      </c>
      <c r="J20">
        <v>13</v>
      </c>
      <c r="K20">
        <v>65</v>
      </c>
      <c r="L20">
        <v>25</v>
      </c>
      <c r="M20">
        <v>2</v>
      </c>
      <c r="N20">
        <v>1</v>
      </c>
      <c r="O20">
        <v>1</v>
      </c>
      <c r="P20">
        <v>22.396512999999999</v>
      </c>
    </row>
    <row r="21" spans="1:16" x14ac:dyDescent="0.25">
      <c r="A21" t="s">
        <v>19</v>
      </c>
      <c r="B21" t="s">
        <v>81</v>
      </c>
      <c r="C21" t="s">
        <v>86</v>
      </c>
      <c r="D21">
        <v>110</v>
      </c>
      <c r="E21">
        <v>3</v>
      </c>
      <c r="F21">
        <v>3</v>
      </c>
      <c r="G21">
        <v>140</v>
      </c>
      <c r="H21">
        <v>4</v>
      </c>
      <c r="I21">
        <v>10</v>
      </c>
      <c r="J21">
        <v>7</v>
      </c>
      <c r="K21">
        <v>160</v>
      </c>
      <c r="L21">
        <v>25</v>
      </c>
      <c r="M21">
        <v>3</v>
      </c>
      <c r="N21">
        <v>1</v>
      </c>
      <c r="O21">
        <v>0.5</v>
      </c>
      <c r="P21">
        <v>40.448771999999998</v>
      </c>
    </row>
    <row r="22" spans="1:16" x14ac:dyDescent="0.25">
      <c r="A22" t="s">
        <v>20</v>
      </c>
      <c r="B22" t="s">
        <v>82</v>
      </c>
      <c r="C22" t="s">
        <v>87</v>
      </c>
      <c r="D22">
        <v>100</v>
      </c>
      <c r="E22">
        <v>3</v>
      </c>
      <c r="F22">
        <v>0</v>
      </c>
      <c r="G22">
        <v>80</v>
      </c>
      <c r="H22">
        <v>1</v>
      </c>
      <c r="I22">
        <v>21</v>
      </c>
      <c r="J22">
        <v>0</v>
      </c>
      <c r="K22">
        <v>-1</v>
      </c>
      <c r="L22">
        <v>0</v>
      </c>
      <c r="M22">
        <v>2</v>
      </c>
      <c r="N22">
        <v>1</v>
      </c>
      <c r="O22" t="s">
        <v>102</v>
      </c>
      <c r="P22">
        <v>64.533816000000002</v>
      </c>
    </row>
    <row r="23" spans="1:16" x14ac:dyDescent="0.25">
      <c r="A23" t="s">
        <v>21</v>
      </c>
      <c r="B23" t="s">
        <v>81</v>
      </c>
      <c r="C23" t="s">
        <v>86</v>
      </c>
      <c r="D23">
        <v>110</v>
      </c>
      <c r="E23">
        <v>2</v>
      </c>
      <c r="F23">
        <v>0</v>
      </c>
      <c r="G23">
        <v>220</v>
      </c>
      <c r="H23">
        <v>1</v>
      </c>
      <c r="I23">
        <v>21</v>
      </c>
      <c r="J23">
        <v>3</v>
      </c>
      <c r="K23">
        <v>30</v>
      </c>
      <c r="L23">
        <v>25</v>
      </c>
      <c r="M23">
        <v>3</v>
      </c>
      <c r="N23">
        <v>1</v>
      </c>
      <c r="O23">
        <v>1</v>
      </c>
      <c r="P23">
        <v>46.895643999999997</v>
      </c>
    </row>
    <row r="24" spans="1:16" x14ac:dyDescent="0.25">
      <c r="A24" t="s">
        <v>22</v>
      </c>
      <c r="B24" t="s">
        <v>80</v>
      </c>
      <c r="C24" t="s">
        <v>86</v>
      </c>
      <c r="D24">
        <v>100</v>
      </c>
      <c r="E24">
        <v>2</v>
      </c>
      <c r="F24">
        <v>1</v>
      </c>
      <c r="G24">
        <v>140</v>
      </c>
      <c r="H24">
        <v>2</v>
      </c>
      <c r="I24">
        <v>11</v>
      </c>
      <c r="J24">
        <v>10</v>
      </c>
      <c r="K24">
        <v>120</v>
      </c>
      <c r="L24">
        <v>25</v>
      </c>
      <c r="M24">
        <v>3</v>
      </c>
      <c r="N24">
        <v>1</v>
      </c>
      <c r="O24">
        <v>0.75</v>
      </c>
      <c r="P24">
        <v>36.176195999999997</v>
      </c>
    </row>
    <row r="25" spans="1:16" x14ac:dyDescent="0.25">
      <c r="A25" t="s">
        <v>23</v>
      </c>
      <c r="B25" t="s">
        <v>85</v>
      </c>
      <c r="C25" t="s">
        <v>86</v>
      </c>
      <c r="D25">
        <v>100</v>
      </c>
      <c r="E25">
        <v>2</v>
      </c>
      <c r="F25">
        <v>0</v>
      </c>
      <c r="G25">
        <v>190</v>
      </c>
      <c r="H25">
        <v>1</v>
      </c>
      <c r="I25">
        <v>18</v>
      </c>
      <c r="J25">
        <v>5</v>
      </c>
      <c r="K25">
        <v>80</v>
      </c>
      <c r="L25">
        <v>25</v>
      </c>
      <c r="M25">
        <v>3</v>
      </c>
      <c r="N25">
        <v>1</v>
      </c>
      <c r="O25">
        <v>0.75</v>
      </c>
      <c r="P25">
        <v>44.330855999999997</v>
      </c>
    </row>
    <row r="26" spans="1:16" x14ac:dyDescent="0.25">
      <c r="A26" t="s">
        <v>24</v>
      </c>
      <c r="B26" t="s">
        <v>81</v>
      </c>
      <c r="C26" t="s">
        <v>86</v>
      </c>
      <c r="D26">
        <v>110</v>
      </c>
      <c r="E26">
        <v>2</v>
      </c>
      <c r="F26">
        <v>1</v>
      </c>
      <c r="G26">
        <v>125</v>
      </c>
      <c r="H26">
        <v>1</v>
      </c>
      <c r="I26">
        <v>11</v>
      </c>
      <c r="J26">
        <v>13</v>
      </c>
      <c r="K26">
        <v>30</v>
      </c>
      <c r="L26">
        <v>25</v>
      </c>
      <c r="M26">
        <v>2</v>
      </c>
      <c r="N26">
        <v>1</v>
      </c>
      <c r="O26">
        <v>1</v>
      </c>
      <c r="P26">
        <v>32.207582000000002</v>
      </c>
    </row>
    <row r="27" spans="1:16" x14ac:dyDescent="0.25">
      <c r="A27" t="s">
        <v>25</v>
      </c>
      <c r="B27" t="s">
        <v>81</v>
      </c>
      <c r="C27" t="s">
        <v>86</v>
      </c>
      <c r="D27">
        <v>110</v>
      </c>
      <c r="E27">
        <v>1</v>
      </c>
      <c r="F27">
        <v>0</v>
      </c>
      <c r="G27">
        <v>200</v>
      </c>
      <c r="H27">
        <v>1</v>
      </c>
      <c r="I27">
        <v>14</v>
      </c>
      <c r="J27">
        <v>11</v>
      </c>
      <c r="K27">
        <v>25</v>
      </c>
      <c r="L27">
        <v>25</v>
      </c>
      <c r="M27">
        <v>1</v>
      </c>
      <c r="N27">
        <v>1</v>
      </c>
      <c r="O27">
        <v>0.75</v>
      </c>
      <c r="P27">
        <v>31.435973000000001</v>
      </c>
    </row>
    <row r="28" spans="1:16" x14ac:dyDescent="0.25">
      <c r="A28" t="s">
        <v>26</v>
      </c>
      <c r="B28" t="s">
        <v>81</v>
      </c>
      <c r="C28" t="s">
        <v>86</v>
      </c>
      <c r="D28">
        <v>100</v>
      </c>
      <c r="E28">
        <v>3</v>
      </c>
      <c r="F28">
        <v>0</v>
      </c>
      <c r="G28">
        <v>0</v>
      </c>
      <c r="H28">
        <v>3</v>
      </c>
      <c r="I28">
        <v>14</v>
      </c>
      <c r="J28">
        <v>7</v>
      </c>
      <c r="K28">
        <v>100</v>
      </c>
      <c r="L28">
        <v>25</v>
      </c>
      <c r="M28">
        <v>2</v>
      </c>
      <c r="N28">
        <v>1</v>
      </c>
      <c r="O28">
        <v>0.8</v>
      </c>
      <c r="P28">
        <v>58.345140999999998</v>
      </c>
    </row>
    <row r="29" spans="1:16" x14ac:dyDescent="0.25">
      <c r="A29" t="s">
        <v>27</v>
      </c>
      <c r="B29" t="s">
        <v>83</v>
      </c>
      <c r="C29" t="s">
        <v>86</v>
      </c>
      <c r="D29">
        <v>120</v>
      </c>
      <c r="E29">
        <v>3</v>
      </c>
      <c r="F29">
        <v>2</v>
      </c>
      <c r="G29">
        <v>160</v>
      </c>
      <c r="H29">
        <v>5</v>
      </c>
      <c r="I29">
        <v>12</v>
      </c>
      <c r="J29">
        <v>10</v>
      </c>
      <c r="K29">
        <v>200</v>
      </c>
      <c r="L29">
        <v>25</v>
      </c>
      <c r="M29">
        <v>3</v>
      </c>
      <c r="N29">
        <v>1.25</v>
      </c>
      <c r="O29">
        <v>0.67</v>
      </c>
      <c r="P29">
        <v>40.917046999999997</v>
      </c>
    </row>
    <row r="30" spans="1:16" x14ac:dyDescent="0.25">
      <c r="A30" t="s">
        <v>28</v>
      </c>
      <c r="B30" t="s">
        <v>81</v>
      </c>
      <c r="C30" t="s">
        <v>86</v>
      </c>
      <c r="D30">
        <v>120</v>
      </c>
      <c r="E30">
        <v>3</v>
      </c>
      <c r="F30">
        <v>0</v>
      </c>
      <c r="G30">
        <v>240</v>
      </c>
      <c r="H30">
        <v>5</v>
      </c>
      <c r="I30">
        <v>14</v>
      </c>
      <c r="J30">
        <v>12</v>
      </c>
      <c r="K30">
        <v>190</v>
      </c>
      <c r="L30">
        <v>25</v>
      </c>
      <c r="M30">
        <v>3</v>
      </c>
      <c r="N30">
        <v>1.33</v>
      </c>
      <c r="O30">
        <v>0.67</v>
      </c>
      <c r="P30">
        <v>41.015492000000002</v>
      </c>
    </row>
    <row r="31" spans="1:16" x14ac:dyDescent="0.25">
      <c r="A31" t="s">
        <v>29</v>
      </c>
      <c r="B31" t="s">
        <v>83</v>
      </c>
      <c r="C31" t="s">
        <v>86</v>
      </c>
      <c r="D31">
        <v>110</v>
      </c>
      <c r="E31">
        <v>1</v>
      </c>
      <c r="F31">
        <v>1</v>
      </c>
      <c r="G31">
        <v>135</v>
      </c>
      <c r="H31">
        <v>0</v>
      </c>
      <c r="I31">
        <v>13</v>
      </c>
      <c r="J31">
        <v>12</v>
      </c>
      <c r="K31">
        <v>25</v>
      </c>
      <c r="L31">
        <v>25</v>
      </c>
      <c r="M31">
        <v>2</v>
      </c>
      <c r="N31">
        <v>1</v>
      </c>
      <c r="O31">
        <v>0.75</v>
      </c>
      <c r="P31">
        <v>28.025765</v>
      </c>
    </row>
    <row r="32" spans="1:16" x14ac:dyDescent="0.25">
      <c r="A32" t="s">
        <v>30</v>
      </c>
      <c r="B32" t="s">
        <v>83</v>
      </c>
      <c r="C32" t="s">
        <v>86</v>
      </c>
      <c r="D32">
        <v>100</v>
      </c>
      <c r="E32">
        <v>2</v>
      </c>
      <c r="F32">
        <v>0</v>
      </c>
      <c r="G32">
        <v>45</v>
      </c>
      <c r="H32">
        <v>0</v>
      </c>
      <c r="I32">
        <v>11</v>
      </c>
      <c r="J32">
        <v>15</v>
      </c>
      <c r="K32">
        <v>40</v>
      </c>
      <c r="L32">
        <v>25</v>
      </c>
      <c r="M32">
        <v>1</v>
      </c>
      <c r="N32">
        <v>1</v>
      </c>
      <c r="O32">
        <v>0.88</v>
      </c>
      <c r="P32">
        <v>35.252443999999997</v>
      </c>
    </row>
    <row r="33" spans="1:16" x14ac:dyDescent="0.25">
      <c r="A33" t="s">
        <v>31</v>
      </c>
      <c r="B33" t="s">
        <v>80</v>
      </c>
      <c r="C33" t="s">
        <v>86</v>
      </c>
      <c r="D33">
        <v>110</v>
      </c>
      <c r="E33">
        <v>1</v>
      </c>
      <c r="F33">
        <v>1</v>
      </c>
      <c r="G33">
        <v>280</v>
      </c>
      <c r="H33">
        <v>0</v>
      </c>
      <c r="I33">
        <v>15</v>
      </c>
      <c r="J33">
        <v>9</v>
      </c>
      <c r="K33">
        <v>45</v>
      </c>
      <c r="L33">
        <v>25</v>
      </c>
      <c r="M33">
        <v>2</v>
      </c>
      <c r="N33">
        <v>1</v>
      </c>
      <c r="O33">
        <v>0.75</v>
      </c>
      <c r="P33">
        <v>23.804043</v>
      </c>
    </row>
    <row r="34" spans="1:16" x14ac:dyDescent="0.25">
      <c r="A34" t="s">
        <v>32</v>
      </c>
      <c r="B34" t="s">
        <v>83</v>
      </c>
      <c r="C34" t="s">
        <v>86</v>
      </c>
      <c r="D34">
        <v>100</v>
      </c>
      <c r="E34">
        <v>3</v>
      </c>
      <c r="F34">
        <v>1</v>
      </c>
      <c r="G34">
        <v>140</v>
      </c>
      <c r="H34">
        <v>3</v>
      </c>
      <c r="I34">
        <v>15</v>
      </c>
      <c r="J34">
        <v>5</v>
      </c>
      <c r="K34">
        <v>85</v>
      </c>
      <c r="L34">
        <v>25</v>
      </c>
      <c r="M34">
        <v>3</v>
      </c>
      <c r="N34">
        <v>1</v>
      </c>
      <c r="O34">
        <v>0.88</v>
      </c>
      <c r="P34">
        <v>52.076897000000002</v>
      </c>
    </row>
    <row r="35" spans="1:16" x14ac:dyDescent="0.25">
      <c r="A35" t="s">
        <v>33</v>
      </c>
      <c r="B35" t="s">
        <v>83</v>
      </c>
      <c r="C35" t="s">
        <v>86</v>
      </c>
      <c r="D35">
        <v>110</v>
      </c>
      <c r="E35">
        <v>3</v>
      </c>
      <c r="F35">
        <v>0</v>
      </c>
      <c r="G35">
        <v>170</v>
      </c>
      <c r="H35">
        <v>3</v>
      </c>
      <c r="I35">
        <v>17</v>
      </c>
      <c r="J35">
        <v>3</v>
      </c>
      <c r="K35">
        <v>90</v>
      </c>
      <c r="L35">
        <v>25</v>
      </c>
      <c r="M35">
        <v>3</v>
      </c>
      <c r="N35">
        <v>1</v>
      </c>
      <c r="O35">
        <v>0.25</v>
      </c>
      <c r="P35">
        <v>53.371006999999999</v>
      </c>
    </row>
    <row r="36" spans="1:16" x14ac:dyDescent="0.25">
      <c r="A36" t="s">
        <v>34</v>
      </c>
      <c r="B36" t="s">
        <v>83</v>
      </c>
      <c r="C36" t="s">
        <v>86</v>
      </c>
      <c r="D36">
        <v>120</v>
      </c>
      <c r="E36">
        <v>3</v>
      </c>
      <c r="F36">
        <v>3</v>
      </c>
      <c r="G36">
        <v>75</v>
      </c>
      <c r="H36">
        <v>3</v>
      </c>
      <c r="I36">
        <v>13</v>
      </c>
      <c r="J36">
        <v>4</v>
      </c>
      <c r="K36">
        <v>100</v>
      </c>
      <c r="L36">
        <v>25</v>
      </c>
      <c r="M36">
        <v>3</v>
      </c>
      <c r="N36">
        <v>1</v>
      </c>
      <c r="O36">
        <v>0.33</v>
      </c>
      <c r="P36">
        <v>45.811715999999997</v>
      </c>
    </row>
    <row r="37" spans="1:16" x14ac:dyDescent="0.25">
      <c r="A37" t="s">
        <v>35</v>
      </c>
      <c r="B37" t="s">
        <v>84</v>
      </c>
      <c r="C37" t="s">
        <v>86</v>
      </c>
      <c r="D37">
        <v>120</v>
      </c>
      <c r="E37">
        <v>1</v>
      </c>
      <c r="F37">
        <v>2</v>
      </c>
      <c r="G37">
        <v>220</v>
      </c>
      <c r="H37">
        <v>1</v>
      </c>
      <c r="I37">
        <v>12</v>
      </c>
      <c r="J37">
        <v>11</v>
      </c>
      <c r="K37">
        <v>45</v>
      </c>
      <c r="L37">
        <v>25</v>
      </c>
      <c r="M37">
        <v>2</v>
      </c>
      <c r="N37">
        <v>1</v>
      </c>
      <c r="O37">
        <v>1</v>
      </c>
      <c r="P37">
        <v>21.871292</v>
      </c>
    </row>
    <row r="38" spans="1:16" x14ac:dyDescent="0.25">
      <c r="A38" t="s">
        <v>36</v>
      </c>
      <c r="B38" t="s">
        <v>80</v>
      </c>
      <c r="C38" t="s">
        <v>86</v>
      </c>
      <c r="D38">
        <v>110</v>
      </c>
      <c r="E38">
        <v>3</v>
      </c>
      <c r="F38">
        <v>1</v>
      </c>
      <c r="G38">
        <v>250</v>
      </c>
      <c r="H38">
        <v>1.5</v>
      </c>
      <c r="I38">
        <v>11.5</v>
      </c>
      <c r="J38">
        <v>10</v>
      </c>
      <c r="K38">
        <v>90</v>
      </c>
      <c r="L38">
        <v>25</v>
      </c>
      <c r="M38">
        <v>1</v>
      </c>
      <c r="N38">
        <v>1</v>
      </c>
      <c r="O38">
        <v>0.75</v>
      </c>
      <c r="P38">
        <v>31.072216999999998</v>
      </c>
    </row>
    <row r="39" spans="1:16" x14ac:dyDescent="0.25">
      <c r="A39" t="s">
        <v>37</v>
      </c>
      <c r="B39" t="s">
        <v>83</v>
      </c>
      <c r="C39" t="s">
        <v>86</v>
      </c>
      <c r="D39">
        <v>110</v>
      </c>
      <c r="E39">
        <v>1</v>
      </c>
      <c r="F39">
        <v>0</v>
      </c>
      <c r="G39">
        <v>180</v>
      </c>
      <c r="H39">
        <v>0</v>
      </c>
      <c r="I39">
        <v>14</v>
      </c>
      <c r="J39">
        <v>11</v>
      </c>
      <c r="K39">
        <v>35</v>
      </c>
      <c r="L39">
        <v>25</v>
      </c>
      <c r="M39">
        <v>1</v>
      </c>
      <c r="N39">
        <v>1</v>
      </c>
      <c r="O39">
        <v>1.33</v>
      </c>
      <c r="P39">
        <v>28.742414</v>
      </c>
    </row>
    <row r="40" spans="1:16" x14ac:dyDescent="0.25">
      <c r="A40" t="s">
        <v>38</v>
      </c>
      <c r="B40" t="s">
        <v>81</v>
      </c>
      <c r="C40" t="s">
        <v>86</v>
      </c>
      <c r="D40">
        <v>110</v>
      </c>
      <c r="E40">
        <v>2</v>
      </c>
      <c r="F40">
        <v>1</v>
      </c>
      <c r="G40">
        <v>170</v>
      </c>
      <c r="H40">
        <v>1</v>
      </c>
      <c r="I40">
        <v>17</v>
      </c>
      <c r="J40">
        <v>6</v>
      </c>
      <c r="K40">
        <v>60</v>
      </c>
      <c r="L40">
        <v>100</v>
      </c>
      <c r="M40">
        <v>3</v>
      </c>
      <c r="N40">
        <v>1</v>
      </c>
      <c r="O40">
        <v>1</v>
      </c>
      <c r="P40">
        <v>36.523682999999998</v>
      </c>
    </row>
    <row r="41" spans="1:16" x14ac:dyDescent="0.25">
      <c r="A41" t="s">
        <v>39</v>
      </c>
      <c r="B41" t="s">
        <v>81</v>
      </c>
      <c r="C41" t="s">
        <v>86</v>
      </c>
      <c r="D41">
        <v>140</v>
      </c>
      <c r="E41">
        <v>3</v>
      </c>
      <c r="F41">
        <v>1</v>
      </c>
      <c r="G41">
        <v>170</v>
      </c>
      <c r="H41">
        <v>2</v>
      </c>
      <c r="I41">
        <v>20</v>
      </c>
      <c r="J41">
        <v>9</v>
      </c>
      <c r="K41">
        <v>95</v>
      </c>
      <c r="L41">
        <v>100</v>
      </c>
      <c r="M41">
        <v>3</v>
      </c>
      <c r="N41">
        <v>1.3</v>
      </c>
      <c r="O41">
        <v>0.75</v>
      </c>
      <c r="P41">
        <v>36.471511999999997</v>
      </c>
    </row>
    <row r="42" spans="1:16" x14ac:dyDescent="0.25">
      <c r="A42" t="s">
        <v>40</v>
      </c>
      <c r="B42" t="s">
        <v>80</v>
      </c>
      <c r="C42" t="s">
        <v>86</v>
      </c>
      <c r="D42">
        <v>110</v>
      </c>
      <c r="E42">
        <v>2</v>
      </c>
      <c r="F42">
        <v>1</v>
      </c>
      <c r="G42">
        <v>260</v>
      </c>
      <c r="H42">
        <v>0</v>
      </c>
      <c r="I42">
        <v>21</v>
      </c>
      <c r="J42">
        <v>3</v>
      </c>
      <c r="K42">
        <v>40</v>
      </c>
      <c r="L42">
        <v>25</v>
      </c>
      <c r="M42">
        <v>2</v>
      </c>
      <c r="N42">
        <v>1</v>
      </c>
      <c r="O42">
        <v>1.5</v>
      </c>
      <c r="P42">
        <v>39.241114000000003</v>
      </c>
    </row>
    <row r="43" spans="1:16" x14ac:dyDescent="0.25">
      <c r="A43" t="s">
        <v>41</v>
      </c>
      <c r="B43" t="s">
        <v>84</v>
      </c>
      <c r="C43" t="s">
        <v>86</v>
      </c>
      <c r="D43">
        <v>100</v>
      </c>
      <c r="E43">
        <v>4</v>
      </c>
      <c r="F43">
        <v>2</v>
      </c>
      <c r="G43">
        <v>150</v>
      </c>
      <c r="H43">
        <v>2</v>
      </c>
      <c r="I43">
        <v>12</v>
      </c>
      <c r="J43">
        <v>6</v>
      </c>
      <c r="K43">
        <v>95</v>
      </c>
      <c r="L43">
        <v>25</v>
      </c>
      <c r="M43">
        <v>2</v>
      </c>
      <c r="N43">
        <v>1</v>
      </c>
      <c r="O43">
        <v>0.67</v>
      </c>
      <c r="P43">
        <v>45.328074000000001</v>
      </c>
    </row>
    <row r="44" spans="1:16" x14ac:dyDescent="0.25">
      <c r="A44" t="s">
        <v>42</v>
      </c>
      <c r="B44" t="s">
        <v>80</v>
      </c>
      <c r="C44" t="s">
        <v>86</v>
      </c>
      <c r="D44">
        <v>110</v>
      </c>
      <c r="E44">
        <v>2</v>
      </c>
      <c r="F44">
        <v>1</v>
      </c>
      <c r="G44">
        <v>180</v>
      </c>
      <c r="H44">
        <v>0</v>
      </c>
      <c r="I44">
        <v>12</v>
      </c>
      <c r="J44">
        <v>12</v>
      </c>
      <c r="K44">
        <v>55</v>
      </c>
      <c r="L44">
        <v>25</v>
      </c>
      <c r="M44">
        <v>2</v>
      </c>
      <c r="N44">
        <v>1</v>
      </c>
      <c r="O44">
        <v>1</v>
      </c>
      <c r="P44">
        <v>26.734514999999998</v>
      </c>
    </row>
    <row r="45" spans="1:16" x14ac:dyDescent="0.25">
      <c r="A45" t="s">
        <v>43</v>
      </c>
      <c r="B45" t="s">
        <v>79</v>
      </c>
      <c r="C45" t="s">
        <v>87</v>
      </c>
      <c r="D45">
        <v>100</v>
      </c>
      <c r="E45">
        <v>4</v>
      </c>
      <c r="F45">
        <v>1</v>
      </c>
      <c r="G45">
        <v>0</v>
      </c>
      <c r="H45">
        <v>0</v>
      </c>
      <c r="I45">
        <v>16</v>
      </c>
      <c r="J45">
        <v>3</v>
      </c>
      <c r="K45">
        <v>95</v>
      </c>
      <c r="L45">
        <v>25</v>
      </c>
      <c r="M45">
        <v>2</v>
      </c>
      <c r="N45">
        <v>1</v>
      </c>
      <c r="O45">
        <v>1</v>
      </c>
      <c r="P45">
        <v>54.850917000000003</v>
      </c>
    </row>
    <row r="46" spans="1:16" x14ac:dyDescent="0.25">
      <c r="A46" t="s">
        <v>44</v>
      </c>
      <c r="B46" t="s">
        <v>85</v>
      </c>
      <c r="C46" t="s">
        <v>86</v>
      </c>
      <c r="D46">
        <v>150</v>
      </c>
      <c r="E46">
        <v>4</v>
      </c>
      <c r="F46">
        <v>3</v>
      </c>
      <c r="G46">
        <v>95</v>
      </c>
      <c r="H46">
        <v>3</v>
      </c>
      <c r="I46">
        <v>16</v>
      </c>
      <c r="J46">
        <v>11</v>
      </c>
      <c r="K46">
        <v>170</v>
      </c>
      <c r="L46">
        <v>25</v>
      </c>
      <c r="M46">
        <v>3</v>
      </c>
      <c r="N46">
        <v>1</v>
      </c>
      <c r="O46">
        <v>1</v>
      </c>
      <c r="P46">
        <v>37.136862999999998</v>
      </c>
    </row>
    <row r="47" spans="1:16" x14ac:dyDescent="0.25">
      <c r="A47" t="s">
        <v>45</v>
      </c>
      <c r="B47" t="s">
        <v>85</v>
      </c>
      <c r="C47" t="s">
        <v>86</v>
      </c>
      <c r="D47">
        <v>150</v>
      </c>
      <c r="E47">
        <v>4</v>
      </c>
      <c r="F47">
        <v>3</v>
      </c>
      <c r="G47">
        <v>150</v>
      </c>
      <c r="H47">
        <v>3</v>
      </c>
      <c r="I47">
        <v>16</v>
      </c>
      <c r="J47">
        <v>11</v>
      </c>
      <c r="K47">
        <v>170</v>
      </c>
      <c r="L47">
        <v>25</v>
      </c>
      <c r="M47">
        <v>3</v>
      </c>
      <c r="N47">
        <v>1</v>
      </c>
      <c r="O47">
        <v>1</v>
      </c>
      <c r="P47">
        <v>34.139764999999997</v>
      </c>
    </row>
    <row r="48" spans="1:16" x14ac:dyDescent="0.25">
      <c r="A48" t="s">
        <v>46</v>
      </c>
      <c r="B48" t="s">
        <v>81</v>
      </c>
      <c r="C48" t="s">
        <v>86</v>
      </c>
      <c r="D48">
        <v>160</v>
      </c>
      <c r="E48">
        <v>3</v>
      </c>
      <c r="F48">
        <v>2</v>
      </c>
      <c r="G48">
        <v>150</v>
      </c>
      <c r="H48">
        <v>3</v>
      </c>
      <c r="I48">
        <v>17</v>
      </c>
      <c r="J48">
        <v>13</v>
      </c>
      <c r="K48">
        <v>160</v>
      </c>
      <c r="L48">
        <v>25</v>
      </c>
      <c r="M48">
        <v>3</v>
      </c>
      <c r="N48">
        <v>1.5</v>
      </c>
      <c r="O48">
        <v>0.67</v>
      </c>
      <c r="P48">
        <v>30.313351000000001</v>
      </c>
    </row>
    <row r="49" spans="1:16" x14ac:dyDescent="0.25">
      <c r="A49" t="s">
        <v>47</v>
      </c>
      <c r="B49" t="s">
        <v>80</v>
      </c>
      <c r="C49" t="s">
        <v>86</v>
      </c>
      <c r="D49">
        <v>100</v>
      </c>
      <c r="E49">
        <v>2</v>
      </c>
      <c r="F49">
        <v>1</v>
      </c>
      <c r="G49">
        <v>220</v>
      </c>
      <c r="H49">
        <v>2</v>
      </c>
      <c r="I49">
        <v>15</v>
      </c>
      <c r="J49">
        <v>6</v>
      </c>
      <c r="K49">
        <v>90</v>
      </c>
      <c r="L49">
        <v>25</v>
      </c>
      <c r="M49">
        <v>1</v>
      </c>
      <c r="N49">
        <v>1</v>
      </c>
      <c r="O49">
        <v>1</v>
      </c>
      <c r="P49">
        <v>40.105964999999998</v>
      </c>
    </row>
    <row r="50" spans="1:16" x14ac:dyDescent="0.25">
      <c r="A50" t="s">
        <v>48</v>
      </c>
      <c r="B50" t="s">
        <v>81</v>
      </c>
      <c r="C50" t="s">
        <v>86</v>
      </c>
      <c r="D50">
        <v>120</v>
      </c>
      <c r="E50">
        <v>2</v>
      </c>
      <c r="F50">
        <v>1</v>
      </c>
      <c r="G50">
        <v>190</v>
      </c>
      <c r="H50">
        <v>0</v>
      </c>
      <c r="I50">
        <v>15</v>
      </c>
      <c r="J50">
        <v>9</v>
      </c>
      <c r="K50">
        <v>40</v>
      </c>
      <c r="L50">
        <v>25</v>
      </c>
      <c r="M50">
        <v>2</v>
      </c>
      <c r="N50">
        <v>1</v>
      </c>
      <c r="O50">
        <v>0.67</v>
      </c>
      <c r="P50">
        <v>29.924285000000001</v>
      </c>
    </row>
    <row r="51" spans="1:16" x14ac:dyDescent="0.25">
      <c r="A51" t="s">
        <v>49</v>
      </c>
      <c r="B51" t="s">
        <v>81</v>
      </c>
      <c r="C51" t="s">
        <v>86</v>
      </c>
      <c r="D51">
        <v>140</v>
      </c>
      <c r="E51">
        <v>3</v>
      </c>
      <c r="F51">
        <v>2</v>
      </c>
      <c r="G51">
        <v>220</v>
      </c>
      <c r="H51">
        <v>3</v>
      </c>
      <c r="I51">
        <v>21</v>
      </c>
      <c r="J51">
        <v>7</v>
      </c>
      <c r="K51">
        <v>130</v>
      </c>
      <c r="L51">
        <v>25</v>
      </c>
      <c r="M51">
        <v>3</v>
      </c>
      <c r="N51">
        <v>1.33</v>
      </c>
      <c r="O51">
        <v>0.67</v>
      </c>
      <c r="P51">
        <v>40.692320000000002</v>
      </c>
    </row>
    <row r="52" spans="1:16" x14ac:dyDescent="0.25">
      <c r="A52" t="s">
        <v>50</v>
      </c>
      <c r="B52" t="s">
        <v>81</v>
      </c>
      <c r="C52" t="s">
        <v>86</v>
      </c>
      <c r="D52">
        <v>90</v>
      </c>
      <c r="E52">
        <v>3</v>
      </c>
      <c r="F52">
        <v>0</v>
      </c>
      <c r="G52">
        <v>170</v>
      </c>
      <c r="H52">
        <v>3</v>
      </c>
      <c r="I52">
        <v>18</v>
      </c>
      <c r="J52">
        <v>2</v>
      </c>
      <c r="K52">
        <v>90</v>
      </c>
      <c r="L52">
        <v>25</v>
      </c>
      <c r="M52">
        <v>3</v>
      </c>
      <c r="N52">
        <v>1</v>
      </c>
      <c r="O52">
        <v>1</v>
      </c>
      <c r="P52">
        <v>59.642837</v>
      </c>
    </row>
    <row r="53" spans="1:16" x14ac:dyDescent="0.25">
      <c r="A53" t="s">
        <v>51</v>
      </c>
      <c r="B53" t="s">
        <v>80</v>
      </c>
      <c r="C53" t="s">
        <v>86</v>
      </c>
      <c r="D53">
        <v>130</v>
      </c>
      <c r="E53">
        <v>3</v>
      </c>
      <c r="F53">
        <v>2</v>
      </c>
      <c r="G53">
        <v>170</v>
      </c>
      <c r="H53">
        <v>1.5</v>
      </c>
      <c r="I53">
        <v>13.5</v>
      </c>
      <c r="J53">
        <v>10</v>
      </c>
      <c r="K53">
        <v>120</v>
      </c>
      <c r="L53">
        <v>25</v>
      </c>
      <c r="M53">
        <v>3</v>
      </c>
      <c r="N53">
        <v>1.25</v>
      </c>
      <c r="O53">
        <v>0.5</v>
      </c>
      <c r="P53">
        <v>30.450842999999999</v>
      </c>
    </row>
    <row r="54" spans="1:16" x14ac:dyDescent="0.25">
      <c r="A54" t="s">
        <v>52</v>
      </c>
      <c r="B54" t="s">
        <v>83</v>
      </c>
      <c r="C54" t="s">
        <v>86</v>
      </c>
      <c r="D54">
        <v>120</v>
      </c>
      <c r="E54">
        <v>3</v>
      </c>
      <c r="F54">
        <v>1</v>
      </c>
      <c r="G54">
        <v>200</v>
      </c>
      <c r="H54">
        <v>6</v>
      </c>
      <c r="I54">
        <v>11</v>
      </c>
      <c r="J54">
        <v>14</v>
      </c>
      <c r="K54">
        <v>260</v>
      </c>
      <c r="L54">
        <v>25</v>
      </c>
      <c r="M54">
        <v>3</v>
      </c>
      <c r="N54">
        <v>1.33</v>
      </c>
      <c r="O54">
        <v>0.67</v>
      </c>
      <c r="P54">
        <v>37.840594000000003</v>
      </c>
    </row>
    <row r="55" spans="1:16" x14ac:dyDescent="0.25">
      <c r="A55" t="s">
        <v>53</v>
      </c>
      <c r="B55" t="s">
        <v>81</v>
      </c>
      <c r="C55" t="s">
        <v>86</v>
      </c>
      <c r="D55">
        <v>100</v>
      </c>
      <c r="E55">
        <v>3</v>
      </c>
      <c r="F55">
        <v>0</v>
      </c>
      <c r="G55">
        <v>320</v>
      </c>
      <c r="H55">
        <v>1</v>
      </c>
      <c r="I55">
        <v>20</v>
      </c>
      <c r="J55">
        <v>3</v>
      </c>
      <c r="K55">
        <v>45</v>
      </c>
      <c r="L55">
        <v>100</v>
      </c>
      <c r="M55">
        <v>3</v>
      </c>
      <c r="N55">
        <v>1</v>
      </c>
      <c r="O55">
        <v>1</v>
      </c>
      <c r="P55">
        <v>41.503540000000001</v>
      </c>
    </row>
    <row r="56" spans="1:16" x14ac:dyDescent="0.25">
      <c r="A56" t="s">
        <v>54</v>
      </c>
      <c r="B56" t="s">
        <v>84</v>
      </c>
      <c r="C56" t="s">
        <v>86</v>
      </c>
      <c r="D56">
        <v>50</v>
      </c>
      <c r="E56">
        <v>1</v>
      </c>
      <c r="F56">
        <v>0</v>
      </c>
      <c r="G56">
        <v>0</v>
      </c>
      <c r="H56">
        <v>0</v>
      </c>
      <c r="I56">
        <v>13</v>
      </c>
      <c r="J56">
        <v>0</v>
      </c>
      <c r="K56">
        <v>15</v>
      </c>
      <c r="L56">
        <v>0</v>
      </c>
      <c r="M56">
        <v>3</v>
      </c>
      <c r="N56">
        <v>0.5</v>
      </c>
      <c r="O56">
        <v>1</v>
      </c>
      <c r="P56">
        <v>60.756112000000002</v>
      </c>
    </row>
    <row r="57" spans="1:16" x14ac:dyDescent="0.25">
      <c r="A57" t="s">
        <v>55</v>
      </c>
      <c r="B57" t="s">
        <v>84</v>
      </c>
      <c r="C57" t="s">
        <v>86</v>
      </c>
      <c r="D57">
        <v>50</v>
      </c>
      <c r="E57">
        <v>2</v>
      </c>
      <c r="F57">
        <v>0</v>
      </c>
      <c r="G57">
        <v>0</v>
      </c>
      <c r="H57">
        <v>1</v>
      </c>
      <c r="I57">
        <v>10</v>
      </c>
      <c r="J57">
        <v>0</v>
      </c>
      <c r="K57">
        <v>50</v>
      </c>
      <c r="L57">
        <v>0</v>
      </c>
      <c r="M57">
        <v>3</v>
      </c>
      <c r="N57">
        <v>0.5</v>
      </c>
      <c r="O57">
        <v>1</v>
      </c>
      <c r="P57">
        <v>63.005645000000001</v>
      </c>
    </row>
    <row r="58" spans="1:16" x14ac:dyDescent="0.25">
      <c r="A58" t="s">
        <v>56</v>
      </c>
      <c r="B58" t="s">
        <v>84</v>
      </c>
      <c r="C58" t="s">
        <v>86</v>
      </c>
      <c r="D58">
        <v>100</v>
      </c>
      <c r="E58">
        <v>4</v>
      </c>
      <c r="F58">
        <v>1</v>
      </c>
      <c r="G58">
        <v>135</v>
      </c>
      <c r="H58">
        <v>2</v>
      </c>
      <c r="I58">
        <v>14</v>
      </c>
      <c r="J58">
        <v>6</v>
      </c>
      <c r="K58">
        <v>110</v>
      </c>
      <c r="L58">
        <v>25</v>
      </c>
      <c r="M58">
        <v>3</v>
      </c>
      <c r="N58">
        <v>1</v>
      </c>
      <c r="O58">
        <v>0.5</v>
      </c>
      <c r="P58">
        <v>49.511873999999999</v>
      </c>
    </row>
    <row r="59" spans="1:16" x14ac:dyDescent="0.25">
      <c r="A59" t="s">
        <v>57</v>
      </c>
      <c r="B59" t="s">
        <v>84</v>
      </c>
      <c r="C59" t="s">
        <v>87</v>
      </c>
      <c r="D59">
        <v>100</v>
      </c>
      <c r="E59">
        <v>5</v>
      </c>
      <c r="F59">
        <v>2</v>
      </c>
      <c r="G59">
        <v>0</v>
      </c>
      <c r="H59">
        <v>2.7</v>
      </c>
      <c r="I59">
        <v>-1</v>
      </c>
      <c r="J59">
        <v>-1</v>
      </c>
      <c r="K59">
        <v>110</v>
      </c>
      <c r="L59">
        <v>0</v>
      </c>
      <c r="M59">
        <v>1</v>
      </c>
      <c r="N59">
        <v>1</v>
      </c>
      <c r="O59">
        <v>0.67</v>
      </c>
      <c r="P59">
        <v>50.828392000000001</v>
      </c>
    </row>
    <row r="60" spans="1:16" x14ac:dyDescent="0.25">
      <c r="A60" t="s">
        <v>58</v>
      </c>
      <c r="B60" t="s">
        <v>81</v>
      </c>
      <c r="C60" t="s">
        <v>86</v>
      </c>
      <c r="D60">
        <v>120</v>
      </c>
      <c r="E60">
        <v>3</v>
      </c>
      <c r="F60">
        <v>1</v>
      </c>
      <c r="G60">
        <v>210</v>
      </c>
      <c r="H60">
        <v>5</v>
      </c>
      <c r="I60">
        <v>14</v>
      </c>
      <c r="J60">
        <v>12</v>
      </c>
      <c r="K60">
        <v>240</v>
      </c>
      <c r="L60">
        <v>25</v>
      </c>
      <c r="M60">
        <v>2</v>
      </c>
      <c r="N60">
        <v>1.33</v>
      </c>
      <c r="O60">
        <v>0.75</v>
      </c>
      <c r="P60">
        <v>39.259197</v>
      </c>
    </row>
    <row r="61" spans="1:16" x14ac:dyDescent="0.25">
      <c r="A61" t="s">
        <v>59</v>
      </c>
      <c r="B61" t="s">
        <v>80</v>
      </c>
      <c r="C61" t="s">
        <v>86</v>
      </c>
      <c r="D61">
        <v>100</v>
      </c>
      <c r="E61">
        <v>3</v>
      </c>
      <c r="F61">
        <v>2</v>
      </c>
      <c r="G61">
        <v>140</v>
      </c>
      <c r="H61">
        <v>2.5</v>
      </c>
      <c r="I61">
        <v>10.5</v>
      </c>
      <c r="J61">
        <v>8</v>
      </c>
      <c r="K61">
        <v>140</v>
      </c>
      <c r="L61">
        <v>25</v>
      </c>
      <c r="M61">
        <v>3</v>
      </c>
      <c r="N61">
        <v>1</v>
      </c>
      <c r="O61">
        <v>0.5</v>
      </c>
      <c r="P61">
        <v>39.703400000000002</v>
      </c>
    </row>
    <row r="62" spans="1:16" x14ac:dyDescent="0.25">
      <c r="A62" t="s">
        <v>60</v>
      </c>
      <c r="B62" t="s">
        <v>81</v>
      </c>
      <c r="C62" t="s">
        <v>86</v>
      </c>
      <c r="D62">
        <v>90</v>
      </c>
      <c r="E62">
        <v>2</v>
      </c>
      <c r="F62">
        <v>0</v>
      </c>
      <c r="G62">
        <v>0</v>
      </c>
      <c r="H62">
        <v>2</v>
      </c>
      <c r="I62">
        <v>15</v>
      </c>
      <c r="J62">
        <v>6</v>
      </c>
      <c r="K62">
        <v>110</v>
      </c>
      <c r="L62">
        <v>25</v>
      </c>
      <c r="M62">
        <v>3</v>
      </c>
      <c r="N62">
        <v>1</v>
      </c>
      <c r="O62">
        <v>0.5</v>
      </c>
      <c r="P62">
        <v>55.333142000000002</v>
      </c>
    </row>
    <row r="63" spans="1:16" x14ac:dyDescent="0.25">
      <c r="A63" t="s">
        <v>61</v>
      </c>
      <c r="B63" t="s">
        <v>85</v>
      </c>
      <c r="C63" t="s">
        <v>86</v>
      </c>
      <c r="D63">
        <v>110</v>
      </c>
      <c r="E63">
        <v>1</v>
      </c>
      <c r="F63">
        <v>0</v>
      </c>
      <c r="G63">
        <v>240</v>
      </c>
      <c r="H63">
        <v>0</v>
      </c>
      <c r="I63">
        <v>23</v>
      </c>
      <c r="J63">
        <v>2</v>
      </c>
      <c r="K63">
        <v>30</v>
      </c>
      <c r="L63">
        <v>25</v>
      </c>
      <c r="M63">
        <v>1</v>
      </c>
      <c r="N63">
        <v>1</v>
      </c>
      <c r="O63">
        <v>1.1299999999999999</v>
      </c>
      <c r="P63">
        <v>41.998933000000001</v>
      </c>
    </row>
    <row r="64" spans="1:16" x14ac:dyDescent="0.25">
      <c r="A64" t="s">
        <v>62</v>
      </c>
      <c r="B64" t="s">
        <v>81</v>
      </c>
      <c r="C64" t="s">
        <v>86</v>
      </c>
      <c r="D64">
        <v>110</v>
      </c>
      <c r="E64">
        <v>2</v>
      </c>
      <c r="F64">
        <v>0</v>
      </c>
      <c r="G64">
        <v>290</v>
      </c>
      <c r="H64">
        <v>0</v>
      </c>
      <c r="I64">
        <v>22</v>
      </c>
      <c r="J64">
        <v>3</v>
      </c>
      <c r="K64">
        <v>35</v>
      </c>
      <c r="L64">
        <v>25</v>
      </c>
      <c r="M64">
        <v>1</v>
      </c>
      <c r="N64">
        <v>1</v>
      </c>
      <c r="O64">
        <v>1</v>
      </c>
      <c r="P64">
        <v>40.560158999999999</v>
      </c>
    </row>
    <row r="65" spans="1:16" x14ac:dyDescent="0.25">
      <c r="A65" t="s">
        <v>63</v>
      </c>
      <c r="B65" t="s">
        <v>82</v>
      </c>
      <c r="C65" t="s">
        <v>86</v>
      </c>
      <c r="D65">
        <v>80</v>
      </c>
      <c r="E65">
        <v>2</v>
      </c>
      <c r="F65">
        <v>0</v>
      </c>
      <c r="G65">
        <v>0</v>
      </c>
      <c r="H65">
        <v>3</v>
      </c>
      <c r="I65">
        <v>16</v>
      </c>
      <c r="J65">
        <v>0</v>
      </c>
      <c r="K65">
        <v>95</v>
      </c>
      <c r="L65">
        <v>0</v>
      </c>
      <c r="M65">
        <v>1</v>
      </c>
      <c r="N65">
        <v>0.83</v>
      </c>
      <c r="O65">
        <v>1</v>
      </c>
      <c r="P65">
        <v>68.235884999999996</v>
      </c>
    </row>
    <row r="66" spans="1:16" x14ac:dyDescent="0.25">
      <c r="A66" t="s">
        <v>64</v>
      </c>
      <c r="B66" t="s">
        <v>82</v>
      </c>
      <c r="C66" t="s">
        <v>86</v>
      </c>
      <c r="D66">
        <v>90</v>
      </c>
      <c r="E66">
        <v>3</v>
      </c>
      <c r="F66">
        <v>0</v>
      </c>
      <c r="G66">
        <v>0</v>
      </c>
      <c r="H66">
        <v>4</v>
      </c>
      <c r="I66">
        <v>19</v>
      </c>
      <c r="J66">
        <v>0</v>
      </c>
      <c r="K66">
        <v>140</v>
      </c>
      <c r="L66">
        <v>0</v>
      </c>
      <c r="M66">
        <v>1</v>
      </c>
      <c r="N66">
        <v>1</v>
      </c>
      <c r="O66">
        <v>0.67</v>
      </c>
      <c r="P66">
        <v>74.472949</v>
      </c>
    </row>
    <row r="67" spans="1:16" x14ac:dyDescent="0.25">
      <c r="A67" t="s">
        <v>65</v>
      </c>
      <c r="B67" t="s">
        <v>82</v>
      </c>
      <c r="C67" t="s">
        <v>86</v>
      </c>
      <c r="D67">
        <v>90</v>
      </c>
      <c r="E67">
        <v>3</v>
      </c>
      <c r="F67">
        <v>0</v>
      </c>
      <c r="G67">
        <v>0</v>
      </c>
      <c r="H67">
        <v>3</v>
      </c>
      <c r="I67">
        <v>20</v>
      </c>
      <c r="J67">
        <v>0</v>
      </c>
      <c r="K67">
        <v>120</v>
      </c>
      <c r="L67">
        <v>0</v>
      </c>
      <c r="M67">
        <v>1</v>
      </c>
      <c r="N67">
        <v>1</v>
      </c>
      <c r="O67">
        <v>0.67</v>
      </c>
      <c r="P67">
        <v>72.801787000000004</v>
      </c>
    </row>
    <row r="68" spans="1:16" x14ac:dyDescent="0.25">
      <c r="A68" t="s">
        <v>66</v>
      </c>
      <c r="B68" t="s">
        <v>81</v>
      </c>
      <c r="C68" t="s">
        <v>86</v>
      </c>
      <c r="D68">
        <v>110</v>
      </c>
      <c r="E68">
        <v>2</v>
      </c>
      <c r="F68">
        <v>1</v>
      </c>
      <c r="G68">
        <v>70</v>
      </c>
      <c r="H68">
        <v>1</v>
      </c>
      <c r="I68">
        <v>9</v>
      </c>
      <c r="J68">
        <v>15</v>
      </c>
      <c r="K68">
        <v>40</v>
      </c>
      <c r="L68">
        <v>25</v>
      </c>
      <c r="M68">
        <v>2</v>
      </c>
      <c r="N68">
        <v>1</v>
      </c>
      <c r="O68">
        <v>0.75</v>
      </c>
      <c r="P68">
        <v>31.230053999999999</v>
      </c>
    </row>
    <row r="69" spans="1:16" x14ac:dyDescent="0.25">
      <c r="A69" t="s">
        <v>67</v>
      </c>
      <c r="B69" t="s">
        <v>81</v>
      </c>
      <c r="C69" t="s">
        <v>86</v>
      </c>
      <c r="D69">
        <v>110</v>
      </c>
      <c r="E69">
        <v>6</v>
      </c>
      <c r="F69">
        <v>0</v>
      </c>
      <c r="G69">
        <v>230</v>
      </c>
      <c r="H69">
        <v>1</v>
      </c>
      <c r="I69">
        <v>16</v>
      </c>
      <c r="J69">
        <v>3</v>
      </c>
      <c r="K69">
        <v>55</v>
      </c>
      <c r="L69">
        <v>25</v>
      </c>
      <c r="M69">
        <v>1</v>
      </c>
      <c r="N69">
        <v>1</v>
      </c>
      <c r="O69">
        <v>1</v>
      </c>
      <c r="P69">
        <v>53.131323999999999</v>
      </c>
    </row>
    <row r="70" spans="1:16" x14ac:dyDescent="0.25">
      <c r="A70" t="s">
        <v>68</v>
      </c>
      <c r="B70" t="s">
        <v>82</v>
      </c>
      <c r="C70" t="s">
        <v>86</v>
      </c>
      <c r="D70">
        <v>90</v>
      </c>
      <c r="E70">
        <v>2</v>
      </c>
      <c r="F70">
        <v>0</v>
      </c>
      <c r="G70">
        <v>15</v>
      </c>
      <c r="H70">
        <v>3</v>
      </c>
      <c r="I70">
        <v>15</v>
      </c>
      <c r="J70">
        <v>5</v>
      </c>
      <c r="K70">
        <v>90</v>
      </c>
      <c r="L70">
        <v>25</v>
      </c>
      <c r="M70">
        <v>2</v>
      </c>
      <c r="N70">
        <v>1</v>
      </c>
      <c r="O70">
        <v>1</v>
      </c>
      <c r="P70">
        <v>59.363993000000001</v>
      </c>
    </row>
    <row r="71" spans="1:16" x14ac:dyDescent="0.25">
      <c r="A71" t="s">
        <v>69</v>
      </c>
      <c r="B71" t="s">
        <v>80</v>
      </c>
      <c r="C71" t="s">
        <v>86</v>
      </c>
      <c r="D71">
        <v>110</v>
      </c>
      <c r="E71">
        <v>2</v>
      </c>
      <c r="F71">
        <v>1</v>
      </c>
      <c r="G71">
        <v>200</v>
      </c>
      <c r="H71">
        <v>0</v>
      </c>
      <c r="I71">
        <v>21</v>
      </c>
      <c r="J71">
        <v>3</v>
      </c>
      <c r="K71">
        <v>35</v>
      </c>
      <c r="L71">
        <v>100</v>
      </c>
      <c r="M71">
        <v>3</v>
      </c>
      <c r="N71">
        <v>1</v>
      </c>
      <c r="O71">
        <v>1</v>
      </c>
      <c r="P71">
        <v>38.839745999999998</v>
      </c>
    </row>
    <row r="72" spans="1:16" x14ac:dyDescent="0.25">
      <c r="A72" t="s">
        <v>70</v>
      </c>
      <c r="B72" t="s">
        <v>80</v>
      </c>
      <c r="C72" t="s">
        <v>86</v>
      </c>
      <c r="D72">
        <v>140</v>
      </c>
      <c r="E72">
        <v>3</v>
      </c>
      <c r="F72">
        <v>1</v>
      </c>
      <c r="G72">
        <v>190</v>
      </c>
      <c r="H72">
        <v>4</v>
      </c>
      <c r="I72">
        <v>15</v>
      </c>
      <c r="J72">
        <v>14</v>
      </c>
      <c r="K72">
        <v>230</v>
      </c>
      <c r="L72">
        <v>100</v>
      </c>
      <c r="M72">
        <v>3</v>
      </c>
      <c r="N72">
        <v>1.5</v>
      </c>
      <c r="O72">
        <v>1</v>
      </c>
      <c r="P72">
        <v>28.592784999999999</v>
      </c>
    </row>
    <row r="73" spans="1:16" x14ac:dyDescent="0.25">
      <c r="A73" t="s">
        <v>71</v>
      </c>
      <c r="B73" t="s">
        <v>80</v>
      </c>
      <c r="C73" t="s">
        <v>86</v>
      </c>
      <c r="D73">
        <v>100</v>
      </c>
      <c r="E73">
        <v>3</v>
      </c>
      <c r="F73">
        <v>1</v>
      </c>
      <c r="G73">
        <v>200</v>
      </c>
      <c r="H73">
        <v>3</v>
      </c>
      <c r="I73">
        <v>16</v>
      </c>
      <c r="J73">
        <v>3</v>
      </c>
      <c r="K73">
        <v>110</v>
      </c>
      <c r="L73">
        <v>100</v>
      </c>
      <c r="M73">
        <v>3</v>
      </c>
      <c r="N73">
        <v>1</v>
      </c>
      <c r="O73">
        <v>1</v>
      </c>
      <c r="P73">
        <v>46.658844000000002</v>
      </c>
    </row>
    <row r="74" spans="1:16" x14ac:dyDescent="0.25">
      <c r="A74" t="s">
        <v>72</v>
      </c>
      <c r="B74" t="s">
        <v>80</v>
      </c>
      <c r="C74" t="s">
        <v>86</v>
      </c>
      <c r="D74">
        <v>110</v>
      </c>
      <c r="E74">
        <v>2</v>
      </c>
      <c r="F74">
        <v>1</v>
      </c>
      <c r="G74">
        <v>250</v>
      </c>
      <c r="H74">
        <v>0</v>
      </c>
      <c r="I74">
        <v>21</v>
      </c>
      <c r="J74">
        <v>3</v>
      </c>
      <c r="K74">
        <v>60</v>
      </c>
      <c r="L74">
        <v>25</v>
      </c>
      <c r="M74">
        <v>3</v>
      </c>
      <c r="N74">
        <v>1</v>
      </c>
      <c r="O74">
        <v>0.75</v>
      </c>
      <c r="P74">
        <v>39.106174000000003</v>
      </c>
    </row>
    <row r="75" spans="1:16" x14ac:dyDescent="0.25">
      <c r="A75" t="s">
        <v>73</v>
      </c>
      <c r="B75" t="s">
        <v>80</v>
      </c>
      <c r="C75" t="s">
        <v>86</v>
      </c>
      <c r="D75">
        <v>110</v>
      </c>
      <c r="E75">
        <v>1</v>
      </c>
      <c r="F75">
        <v>1</v>
      </c>
      <c r="G75">
        <v>140</v>
      </c>
      <c r="H75">
        <v>0</v>
      </c>
      <c r="I75">
        <v>13</v>
      </c>
      <c r="J75">
        <v>12</v>
      </c>
      <c r="K75">
        <v>25</v>
      </c>
      <c r="L75">
        <v>25</v>
      </c>
      <c r="M75">
        <v>2</v>
      </c>
      <c r="N75">
        <v>1</v>
      </c>
      <c r="O75">
        <v>1</v>
      </c>
      <c r="P75">
        <v>27.753301</v>
      </c>
    </row>
    <row r="76" spans="1:16" x14ac:dyDescent="0.25">
      <c r="A76" t="s">
        <v>74</v>
      </c>
      <c r="B76" t="s">
        <v>85</v>
      </c>
      <c r="C76" t="s">
        <v>86</v>
      </c>
      <c r="D76">
        <v>100</v>
      </c>
      <c r="E76">
        <v>3</v>
      </c>
      <c r="F76">
        <v>1</v>
      </c>
      <c r="G76">
        <v>230</v>
      </c>
      <c r="H76">
        <v>3</v>
      </c>
      <c r="I76">
        <v>17</v>
      </c>
      <c r="J76">
        <v>3</v>
      </c>
      <c r="K76">
        <v>115</v>
      </c>
      <c r="L76">
        <v>25</v>
      </c>
      <c r="M76">
        <v>1</v>
      </c>
      <c r="N76">
        <v>1</v>
      </c>
      <c r="O76">
        <v>0.67</v>
      </c>
      <c r="P76">
        <v>49.787444999999998</v>
      </c>
    </row>
    <row r="77" spans="1:16" x14ac:dyDescent="0.25">
      <c r="A77" t="s">
        <v>75</v>
      </c>
      <c r="B77" t="s">
        <v>80</v>
      </c>
      <c r="C77" t="s">
        <v>86</v>
      </c>
      <c r="D77">
        <v>100</v>
      </c>
      <c r="E77">
        <v>3</v>
      </c>
      <c r="F77">
        <v>1</v>
      </c>
      <c r="G77">
        <v>200</v>
      </c>
      <c r="H77">
        <v>3</v>
      </c>
      <c r="I77">
        <v>17</v>
      </c>
      <c r="J77">
        <v>3</v>
      </c>
      <c r="K77">
        <v>110</v>
      </c>
      <c r="L77">
        <v>25</v>
      </c>
      <c r="M77">
        <v>1</v>
      </c>
      <c r="N77">
        <v>1</v>
      </c>
      <c r="O77">
        <v>1</v>
      </c>
      <c r="P77">
        <v>51.592193000000002</v>
      </c>
    </row>
    <row r="78" spans="1:16" x14ac:dyDescent="0.25">
      <c r="A78" t="s">
        <v>76</v>
      </c>
      <c r="B78" t="s">
        <v>80</v>
      </c>
      <c r="C78" t="s">
        <v>86</v>
      </c>
      <c r="D78">
        <v>110</v>
      </c>
      <c r="E78">
        <v>2</v>
      </c>
      <c r="F78">
        <v>1</v>
      </c>
      <c r="G78">
        <v>200</v>
      </c>
      <c r="H78">
        <v>1</v>
      </c>
      <c r="I78">
        <v>16</v>
      </c>
      <c r="J78">
        <v>8</v>
      </c>
      <c r="K78">
        <v>60</v>
      </c>
      <c r="L78">
        <v>25</v>
      </c>
      <c r="M78">
        <v>1</v>
      </c>
      <c r="N78">
        <v>1</v>
      </c>
      <c r="O78">
        <v>0.75</v>
      </c>
      <c r="P78">
        <v>36.187559</v>
      </c>
    </row>
  </sheetData>
  <autoFilter ref="A1:P78"/>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8"/>
  <sheetViews>
    <sheetView topLeftCell="E1" workbookViewId="0">
      <selection activeCell="R2" sqref="R2:R78"/>
    </sheetView>
  </sheetViews>
  <sheetFormatPr defaultRowHeight="15" x14ac:dyDescent="0.25"/>
  <cols>
    <col min="1" max="1" width="35.28515625" bestFit="1" customWidth="1"/>
    <col min="2" max="2" width="28.7109375" bestFit="1" customWidth="1"/>
    <col min="3" max="3" width="12" customWidth="1"/>
    <col min="4" max="4" width="12.42578125" customWidth="1"/>
    <col min="5" max="5" width="12.85546875" customWidth="1"/>
    <col min="6" max="6" width="7.42578125" customWidth="1"/>
    <col min="7" max="7" width="12.42578125" customWidth="1"/>
    <col min="8" max="8" width="10.7109375" customWidth="1"/>
    <col min="9" max="9" width="15.42578125" bestFit="1" customWidth="1"/>
    <col min="10" max="10" width="11.42578125" customWidth="1"/>
    <col min="11" max="11" width="15.42578125" customWidth="1"/>
    <col min="12" max="12" width="14.7109375" customWidth="1"/>
    <col min="13" max="13" width="10" customWidth="1"/>
    <col min="14" max="14" width="13.42578125" customWidth="1"/>
    <col min="15" max="15" width="11.28515625" customWidth="1"/>
    <col min="16" max="16" width="10" bestFit="1" customWidth="1"/>
    <col min="17" max="17" width="14" bestFit="1" customWidth="1"/>
    <col min="18" max="18" width="18.42578125" bestFit="1" customWidth="1"/>
    <col min="19" max="19" width="14.42578125" bestFit="1" customWidth="1"/>
    <col min="20" max="20" width="13.7109375" bestFit="1" customWidth="1"/>
    <col min="21" max="21" width="15.5703125" bestFit="1" customWidth="1"/>
    <col min="22" max="22" width="16.28515625" bestFit="1" customWidth="1"/>
    <col min="23" max="23" width="12.85546875" bestFit="1" customWidth="1"/>
  </cols>
  <sheetData>
    <row r="1" spans="1:23" x14ac:dyDescent="0.25">
      <c r="A1" s="1" t="s">
        <v>108</v>
      </c>
      <c r="B1" s="1" t="s">
        <v>78</v>
      </c>
      <c r="C1" s="1" t="s">
        <v>88</v>
      </c>
      <c r="D1" s="2" t="s">
        <v>89</v>
      </c>
      <c r="E1" s="2" t="s">
        <v>90</v>
      </c>
      <c r="F1" s="2" t="s">
        <v>91</v>
      </c>
      <c r="G1" s="2" t="s">
        <v>92</v>
      </c>
      <c r="H1" s="2" t="s">
        <v>93</v>
      </c>
      <c r="I1" s="2" t="s">
        <v>94</v>
      </c>
      <c r="J1" s="2" t="s">
        <v>95</v>
      </c>
      <c r="K1" s="2" t="s">
        <v>96</v>
      </c>
      <c r="L1" s="2" t="s">
        <v>97</v>
      </c>
      <c r="M1" s="2" t="s">
        <v>98</v>
      </c>
      <c r="N1" s="2" t="s">
        <v>99</v>
      </c>
      <c r="O1" s="2" t="s">
        <v>100</v>
      </c>
      <c r="P1" s="2" t="s">
        <v>101</v>
      </c>
      <c r="Q1" s="2" t="s">
        <v>133</v>
      </c>
      <c r="R1" s="1" t="s">
        <v>103</v>
      </c>
      <c r="S1" s="2" t="s">
        <v>111</v>
      </c>
      <c r="T1" s="2" t="s">
        <v>112</v>
      </c>
      <c r="U1" s="2" t="s">
        <v>113</v>
      </c>
      <c r="V1" s="2" t="s">
        <v>114</v>
      </c>
      <c r="W1" s="2" t="s">
        <v>115</v>
      </c>
    </row>
    <row r="2" spans="1:23" x14ac:dyDescent="0.25">
      <c r="A2" t="s">
        <v>0</v>
      </c>
      <c r="B2" t="s">
        <v>82</v>
      </c>
      <c r="C2" t="s">
        <v>86</v>
      </c>
      <c r="D2">
        <v>70</v>
      </c>
      <c r="E2">
        <v>4</v>
      </c>
      <c r="F2">
        <v>1</v>
      </c>
      <c r="G2">
        <v>130</v>
      </c>
      <c r="H2">
        <v>10</v>
      </c>
      <c r="I2">
        <v>5</v>
      </c>
      <c r="J2">
        <v>6</v>
      </c>
      <c r="K2">
        <v>280</v>
      </c>
      <c r="L2">
        <v>25</v>
      </c>
      <c r="M2">
        <v>3</v>
      </c>
      <c r="N2">
        <v>1</v>
      </c>
      <c r="O2">
        <v>0.33</v>
      </c>
      <c r="P2">
        <v>68.402973000000003</v>
      </c>
      <c r="Q2" t="str">
        <f>IF(AND($J$2:$J$78&lt;=5,$H$2:$H$78&gt;=3,$D$2:$D$78&lt;=120,$G$2:$G$78&lt;=200),"Healthy","Unhealthy")</f>
        <v>Unhealthy</v>
      </c>
      <c r="R2" t="str">
        <f>IF(OR($Q$2:$Q$78="Unhealthy",$P$2:$P$78&lt;AVERAGE($P$2:$P$78)),"Yes","No")</f>
        <v>Yes</v>
      </c>
      <c r="S2" t="str">
        <f>IF( $J$2:$J$82&gt;5,"High sugar","Normal")</f>
        <v>High sugar</v>
      </c>
      <c r="T2" t="str">
        <f>IF($H$2:$H$78&lt;=3,"Low Fiber","Normal")</f>
        <v>Normal</v>
      </c>
      <c r="U2" t="str">
        <f>IF($D$2:$D$78&gt;=120,"High Calories","Normal")</f>
        <v>Normal</v>
      </c>
      <c r="V2" t="str">
        <f>IF($G$2:$G$78&gt;=200,"High Sodium","Normal")</f>
        <v>Normal</v>
      </c>
      <c r="W2" t="str">
        <f>IF(S2:S378="High Sugar","High Sugar",IF(T2:T78="Low Fiber","Low Fiber",IF(U2:U78="High Calories","High Calories",IF(V2:V78="High Sodium","High Sodium","Healthy"))))</f>
        <v>High Sugar</v>
      </c>
    </row>
    <row r="3" spans="1:23" x14ac:dyDescent="0.25">
      <c r="A3" t="s">
        <v>1</v>
      </c>
      <c r="B3" t="s">
        <v>84</v>
      </c>
      <c r="C3" t="s">
        <v>86</v>
      </c>
      <c r="D3">
        <v>120</v>
      </c>
      <c r="E3">
        <v>3</v>
      </c>
      <c r="F3">
        <v>5</v>
      </c>
      <c r="G3">
        <v>15</v>
      </c>
      <c r="H3">
        <v>2</v>
      </c>
      <c r="I3">
        <v>8</v>
      </c>
      <c r="J3">
        <v>8</v>
      </c>
      <c r="K3">
        <v>135</v>
      </c>
      <c r="L3">
        <v>0</v>
      </c>
      <c r="M3">
        <v>3</v>
      </c>
      <c r="N3">
        <v>1</v>
      </c>
      <c r="O3">
        <v>1</v>
      </c>
      <c r="P3">
        <v>33.983679000000002</v>
      </c>
      <c r="Q3" t="str">
        <f t="shared" ref="Q3:Q66" si="0">IF(AND($J$2:$J$78&lt;=5,$H$2:$H$78&gt;=3,$D$2:$D$78&lt;=120,$G$2:$G$78&lt;=200),"Healthy","Unhealthy")</f>
        <v>Unhealthy</v>
      </c>
      <c r="R3" t="str">
        <f t="shared" ref="R3:R66" si="1">IF(OR($Q$2:$Q$78="Unhealthy",$P$2:$P$78&lt;AVERAGE($P$2:$P$78)),"Yes","No")</f>
        <v>Yes</v>
      </c>
      <c r="S3" t="str">
        <f t="shared" ref="S3:S18" si="2">IF( $J$2:$J$82&gt;5,"High sugar","Normal")</f>
        <v>High sugar</v>
      </c>
      <c r="T3" t="str">
        <f t="shared" ref="T3:T66" si="3">IF($H$2:$H$78&lt;=3,"Low Fiber","Normal")</f>
        <v>Low Fiber</v>
      </c>
      <c r="U3" t="str">
        <f t="shared" ref="U3:U66" si="4">IF($D$2:$D$78&gt;=120,"High Calories","Normal")</f>
        <v>High Calories</v>
      </c>
      <c r="V3" t="str">
        <f t="shared" ref="V3:V66" si="5">IF($G$2:$G$78&gt;=200,"High Sodium","Normal")</f>
        <v>Normal</v>
      </c>
      <c r="W3" t="str">
        <f t="shared" ref="W3:W66" si="6">IF(S3:S379="High Sugar","High Sugar",IF(T3:T79="Low Fiber","Low Fiber",IF(U3:U79="High Calories","High Calories",IF(V3:V79="High Sodium","High Sodium","Healthy"))))</f>
        <v>High Sugar</v>
      </c>
    </row>
    <row r="4" spans="1:23" x14ac:dyDescent="0.25">
      <c r="A4" t="s">
        <v>2</v>
      </c>
      <c r="B4" t="s">
        <v>81</v>
      </c>
      <c r="C4" t="s">
        <v>86</v>
      </c>
      <c r="D4">
        <v>70</v>
      </c>
      <c r="E4">
        <v>4</v>
      </c>
      <c r="F4">
        <v>1</v>
      </c>
      <c r="G4">
        <v>260</v>
      </c>
      <c r="H4">
        <v>9</v>
      </c>
      <c r="I4">
        <v>7</v>
      </c>
      <c r="J4">
        <v>5</v>
      </c>
      <c r="K4">
        <v>320</v>
      </c>
      <c r="L4">
        <v>25</v>
      </c>
      <c r="M4">
        <v>3</v>
      </c>
      <c r="N4">
        <v>1</v>
      </c>
      <c r="O4">
        <v>0.33</v>
      </c>
      <c r="P4">
        <v>59.425505000000001</v>
      </c>
      <c r="Q4" t="str">
        <f t="shared" si="0"/>
        <v>Unhealthy</v>
      </c>
      <c r="R4" t="str">
        <f t="shared" si="1"/>
        <v>Yes</v>
      </c>
      <c r="S4" t="str">
        <f t="shared" si="2"/>
        <v>Normal</v>
      </c>
      <c r="T4" t="str">
        <f t="shared" si="3"/>
        <v>Normal</v>
      </c>
      <c r="U4" t="str">
        <f t="shared" si="4"/>
        <v>Normal</v>
      </c>
      <c r="V4" t="str">
        <f t="shared" si="5"/>
        <v>High Sodium</v>
      </c>
      <c r="W4" t="str">
        <f t="shared" si="6"/>
        <v>High Sodium</v>
      </c>
    </row>
    <row r="5" spans="1:23" x14ac:dyDescent="0.25">
      <c r="A5" t="s">
        <v>3</v>
      </c>
      <c r="B5" t="s">
        <v>81</v>
      </c>
      <c r="C5" t="s">
        <v>86</v>
      </c>
      <c r="D5">
        <v>50</v>
      </c>
      <c r="E5">
        <v>4</v>
      </c>
      <c r="F5">
        <v>0</v>
      </c>
      <c r="G5">
        <v>140</v>
      </c>
      <c r="H5">
        <v>14</v>
      </c>
      <c r="I5">
        <v>8</v>
      </c>
      <c r="J5">
        <v>0</v>
      </c>
      <c r="K5">
        <v>330</v>
      </c>
      <c r="L5">
        <v>25</v>
      </c>
      <c r="M5">
        <v>3</v>
      </c>
      <c r="N5">
        <v>1</v>
      </c>
      <c r="O5">
        <v>0.5</v>
      </c>
      <c r="P5">
        <v>93.704911999999993</v>
      </c>
      <c r="Q5" t="str">
        <f t="shared" si="0"/>
        <v>Healthy</v>
      </c>
      <c r="R5" t="str">
        <f t="shared" si="1"/>
        <v>No</v>
      </c>
      <c r="S5" t="str">
        <f t="shared" si="2"/>
        <v>Normal</v>
      </c>
      <c r="T5" t="str">
        <f t="shared" si="3"/>
        <v>Normal</v>
      </c>
      <c r="U5" t="str">
        <f t="shared" si="4"/>
        <v>Normal</v>
      </c>
      <c r="V5" t="str">
        <f t="shared" si="5"/>
        <v>Normal</v>
      </c>
      <c r="W5" t="str">
        <f t="shared" si="6"/>
        <v>Healthy</v>
      </c>
    </row>
    <row r="6" spans="1:23" x14ac:dyDescent="0.25">
      <c r="A6" t="s">
        <v>4</v>
      </c>
      <c r="B6" t="s">
        <v>85</v>
      </c>
      <c r="C6" t="s">
        <v>86</v>
      </c>
      <c r="D6">
        <v>110</v>
      </c>
      <c r="E6">
        <v>2</v>
      </c>
      <c r="F6">
        <v>2</v>
      </c>
      <c r="G6">
        <v>200</v>
      </c>
      <c r="H6">
        <v>1</v>
      </c>
      <c r="I6">
        <v>14</v>
      </c>
      <c r="J6">
        <v>8</v>
      </c>
      <c r="K6">
        <v>-1</v>
      </c>
      <c r="L6">
        <v>25</v>
      </c>
      <c r="M6">
        <v>3</v>
      </c>
      <c r="N6">
        <v>1</v>
      </c>
      <c r="O6">
        <v>0.75</v>
      </c>
      <c r="P6">
        <v>34.384842999999996</v>
      </c>
      <c r="Q6" t="str">
        <f t="shared" si="0"/>
        <v>Unhealthy</v>
      </c>
      <c r="R6" t="str">
        <f t="shared" si="1"/>
        <v>Yes</v>
      </c>
      <c r="S6" t="str">
        <f t="shared" si="2"/>
        <v>High sugar</v>
      </c>
      <c r="T6" t="str">
        <f t="shared" si="3"/>
        <v>Low Fiber</v>
      </c>
      <c r="U6" t="str">
        <f t="shared" si="4"/>
        <v>Normal</v>
      </c>
      <c r="V6" t="str">
        <f t="shared" si="5"/>
        <v>High Sodium</v>
      </c>
      <c r="W6" t="str">
        <f t="shared" si="6"/>
        <v>High Sugar</v>
      </c>
    </row>
    <row r="7" spans="1:23" x14ac:dyDescent="0.25">
      <c r="A7" t="s">
        <v>5</v>
      </c>
      <c r="B7" t="s">
        <v>80</v>
      </c>
      <c r="C7" t="s">
        <v>86</v>
      </c>
      <c r="D7">
        <v>110</v>
      </c>
      <c r="E7">
        <v>2</v>
      </c>
      <c r="F7">
        <v>2</v>
      </c>
      <c r="G7">
        <v>180</v>
      </c>
      <c r="H7">
        <v>1.5</v>
      </c>
      <c r="I7">
        <v>10.5</v>
      </c>
      <c r="J7">
        <v>10</v>
      </c>
      <c r="K7">
        <v>70</v>
      </c>
      <c r="L7">
        <v>25</v>
      </c>
      <c r="M7">
        <v>1</v>
      </c>
      <c r="N7">
        <v>1</v>
      </c>
      <c r="O7">
        <v>0.75</v>
      </c>
      <c r="P7">
        <v>29.509540999999999</v>
      </c>
      <c r="Q7" t="str">
        <f t="shared" si="0"/>
        <v>Unhealthy</v>
      </c>
      <c r="R7" t="str">
        <f t="shared" si="1"/>
        <v>Yes</v>
      </c>
      <c r="S7" t="str">
        <f t="shared" si="2"/>
        <v>High sugar</v>
      </c>
      <c r="T7" t="str">
        <f>IF($H$2:$H$78&lt;=3,"Low Fiber","Normal")</f>
        <v>Low Fiber</v>
      </c>
      <c r="U7" t="str">
        <f t="shared" si="4"/>
        <v>Normal</v>
      </c>
      <c r="V7" t="str">
        <f t="shared" si="5"/>
        <v>Normal</v>
      </c>
      <c r="W7" t="str">
        <f t="shared" si="6"/>
        <v>High Sugar</v>
      </c>
    </row>
    <row r="8" spans="1:23" x14ac:dyDescent="0.25">
      <c r="A8" t="s">
        <v>6</v>
      </c>
      <c r="B8" t="s">
        <v>81</v>
      </c>
      <c r="C8" t="s">
        <v>86</v>
      </c>
      <c r="D8">
        <v>110</v>
      </c>
      <c r="E8">
        <v>2</v>
      </c>
      <c r="F8">
        <v>0</v>
      </c>
      <c r="G8">
        <v>125</v>
      </c>
      <c r="H8">
        <v>1</v>
      </c>
      <c r="I8">
        <v>11</v>
      </c>
      <c r="J8">
        <v>14</v>
      </c>
      <c r="K8">
        <v>30</v>
      </c>
      <c r="L8">
        <v>25</v>
      </c>
      <c r="M8">
        <v>2</v>
      </c>
      <c r="N8">
        <v>1</v>
      </c>
      <c r="O8">
        <v>1</v>
      </c>
      <c r="P8">
        <v>33.174093999999997</v>
      </c>
      <c r="Q8" t="str">
        <f t="shared" si="0"/>
        <v>Unhealthy</v>
      </c>
      <c r="R8" t="str">
        <f t="shared" si="1"/>
        <v>Yes</v>
      </c>
      <c r="S8" t="str">
        <f t="shared" si="2"/>
        <v>High sugar</v>
      </c>
      <c r="T8" t="str">
        <f t="shared" si="3"/>
        <v>Low Fiber</v>
      </c>
      <c r="U8" t="str">
        <f t="shared" si="4"/>
        <v>Normal</v>
      </c>
      <c r="V8" t="str">
        <f t="shared" si="5"/>
        <v>Normal</v>
      </c>
      <c r="W8" t="str">
        <f t="shared" si="6"/>
        <v>High Sugar</v>
      </c>
    </row>
    <row r="9" spans="1:23" x14ac:dyDescent="0.25">
      <c r="A9" t="s">
        <v>7</v>
      </c>
      <c r="B9" t="s">
        <v>80</v>
      </c>
      <c r="C9" t="s">
        <v>86</v>
      </c>
      <c r="D9">
        <v>130</v>
      </c>
      <c r="E9">
        <v>3</v>
      </c>
      <c r="F9">
        <v>2</v>
      </c>
      <c r="G9">
        <v>210</v>
      </c>
      <c r="H9">
        <v>2</v>
      </c>
      <c r="I9">
        <v>18</v>
      </c>
      <c r="J9">
        <v>8</v>
      </c>
      <c r="K9">
        <v>100</v>
      </c>
      <c r="L9">
        <v>25</v>
      </c>
      <c r="M9">
        <v>3</v>
      </c>
      <c r="N9">
        <v>1.33</v>
      </c>
      <c r="O9">
        <v>0.75</v>
      </c>
      <c r="P9">
        <v>37.038561999999999</v>
      </c>
      <c r="Q9" t="str">
        <f t="shared" si="0"/>
        <v>Unhealthy</v>
      </c>
      <c r="R9" t="str">
        <f t="shared" si="1"/>
        <v>Yes</v>
      </c>
      <c r="S9" t="str">
        <f t="shared" si="2"/>
        <v>High sugar</v>
      </c>
      <c r="T9" t="str">
        <f t="shared" si="3"/>
        <v>Low Fiber</v>
      </c>
      <c r="U9" t="str">
        <f t="shared" si="4"/>
        <v>High Calories</v>
      </c>
      <c r="V9" t="str">
        <f t="shared" si="5"/>
        <v>High Sodium</v>
      </c>
      <c r="W9" t="str">
        <f t="shared" si="6"/>
        <v>High Sugar</v>
      </c>
    </row>
    <row r="10" spans="1:23" x14ac:dyDescent="0.25">
      <c r="A10" t="s">
        <v>8</v>
      </c>
      <c r="B10" t="s">
        <v>85</v>
      </c>
      <c r="C10" t="s">
        <v>86</v>
      </c>
      <c r="D10">
        <v>90</v>
      </c>
      <c r="E10">
        <v>2</v>
      </c>
      <c r="F10">
        <v>1</v>
      </c>
      <c r="G10">
        <v>200</v>
      </c>
      <c r="H10">
        <v>4</v>
      </c>
      <c r="I10">
        <v>15</v>
      </c>
      <c r="J10">
        <v>6</v>
      </c>
      <c r="K10">
        <v>125</v>
      </c>
      <c r="L10">
        <v>25</v>
      </c>
      <c r="M10">
        <v>1</v>
      </c>
      <c r="N10">
        <v>1</v>
      </c>
      <c r="O10">
        <v>0.67</v>
      </c>
      <c r="P10">
        <v>49.120252999999998</v>
      </c>
      <c r="Q10" t="str">
        <f t="shared" si="0"/>
        <v>Unhealthy</v>
      </c>
      <c r="R10" t="str">
        <f t="shared" si="1"/>
        <v>Yes</v>
      </c>
      <c r="S10" t="str">
        <f t="shared" si="2"/>
        <v>High sugar</v>
      </c>
      <c r="T10" t="str">
        <f t="shared" si="3"/>
        <v>Normal</v>
      </c>
      <c r="U10" t="str">
        <f>IF($D$2:$D$78&gt;=120,"High Calories","Normal")</f>
        <v>Normal</v>
      </c>
      <c r="V10" t="str">
        <f t="shared" si="5"/>
        <v>High Sodium</v>
      </c>
      <c r="W10" t="str">
        <f t="shared" si="6"/>
        <v>High Sugar</v>
      </c>
    </row>
    <row r="11" spans="1:23" x14ac:dyDescent="0.25">
      <c r="A11" t="s">
        <v>9</v>
      </c>
      <c r="B11" t="s">
        <v>83</v>
      </c>
      <c r="C11" t="s">
        <v>86</v>
      </c>
      <c r="D11">
        <v>90</v>
      </c>
      <c r="E11">
        <v>3</v>
      </c>
      <c r="F11">
        <v>0</v>
      </c>
      <c r="G11">
        <v>210</v>
      </c>
      <c r="H11">
        <v>5</v>
      </c>
      <c r="I11">
        <v>13</v>
      </c>
      <c r="J11">
        <v>5</v>
      </c>
      <c r="K11">
        <v>190</v>
      </c>
      <c r="L11">
        <v>25</v>
      </c>
      <c r="M11">
        <v>3</v>
      </c>
      <c r="N11">
        <v>1</v>
      </c>
      <c r="O11">
        <v>0.67</v>
      </c>
      <c r="P11">
        <v>53.313813000000003</v>
      </c>
      <c r="Q11" t="str">
        <f t="shared" si="0"/>
        <v>Unhealthy</v>
      </c>
      <c r="R11" t="str">
        <f t="shared" si="1"/>
        <v>Yes</v>
      </c>
      <c r="S11" t="str">
        <f t="shared" si="2"/>
        <v>Normal</v>
      </c>
      <c r="T11" t="str">
        <f t="shared" si="3"/>
        <v>Normal</v>
      </c>
      <c r="U11" t="str">
        <f t="shared" si="4"/>
        <v>Normal</v>
      </c>
      <c r="V11" t="str">
        <f t="shared" si="5"/>
        <v>High Sodium</v>
      </c>
      <c r="W11" t="str">
        <f t="shared" si="6"/>
        <v>High Sodium</v>
      </c>
    </row>
    <row r="12" spans="1:23" x14ac:dyDescent="0.25">
      <c r="A12" t="s">
        <v>10</v>
      </c>
      <c r="B12" t="s">
        <v>84</v>
      </c>
      <c r="C12" t="s">
        <v>86</v>
      </c>
      <c r="D12">
        <v>120</v>
      </c>
      <c r="E12">
        <v>1</v>
      </c>
      <c r="F12">
        <v>2</v>
      </c>
      <c r="G12">
        <v>220</v>
      </c>
      <c r="H12">
        <v>0</v>
      </c>
      <c r="I12">
        <v>12</v>
      </c>
      <c r="J12">
        <v>12</v>
      </c>
      <c r="K12">
        <v>35</v>
      </c>
      <c r="L12">
        <v>25</v>
      </c>
      <c r="M12">
        <v>2</v>
      </c>
      <c r="N12">
        <v>1</v>
      </c>
      <c r="O12">
        <v>0.75</v>
      </c>
      <c r="P12">
        <v>18.042850999999999</v>
      </c>
      <c r="Q12" t="str">
        <f t="shared" si="0"/>
        <v>Unhealthy</v>
      </c>
      <c r="R12" t="str">
        <f t="shared" si="1"/>
        <v>Yes</v>
      </c>
      <c r="S12" t="str">
        <f>IF( $J$2:$J$82&gt;5,"High sugar","Normal")</f>
        <v>High sugar</v>
      </c>
      <c r="T12" t="str">
        <f t="shared" si="3"/>
        <v>Low Fiber</v>
      </c>
      <c r="U12" t="str">
        <f t="shared" si="4"/>
        <v>High Calories</v>
      </c>
      <c r="V12" t="str">
        <f t="shared" si="5"/>
        <v>High Sodium</v>
      </c>
      <c r="W12" t="str">
        <f t="shared" si="6"/>
        <v>High Sugar</v>
      </c>
    </row>
    <row r="13" spans="1:23" x14ac:dyDescent="0.25">
      <c r="A13" t="s">
        <v>11</v>
      </c>
      <c r="B13" t="s">
        <v>80</v>
      </c>
      <c r="C13" t="s">
        <v>86</v>
      </c>
      <c r="D13">
        <v>110</v>
      </c>
      <c r="E13">
        <v>6</v>
      </c>
      <c r="F13">
        <v>2</v>
      </c>
      <c r="G13">
        <v>290</v>
      </c>
      <c r="H13">
        <v>2</v>
      </c>
      <c r="I13">
        <v>17</v>
      </c>
      <c r="J13">
        <v>1</v>
      </c>
      <c r="K13">
        <v>105</v>
      </c>
      <c r="L13">
        <v>25</v>
      </c>
      <c r="M13">
        <v>1</v>
      </c>
      <c r="N13">
        <v>1</v>
      </c>
      <c r="O13">
        <v>1.25</v>
      </c>
      <c r="P13">
        <v>50.764999000000003</v>
      </c>
      <c r="Q13" t="str">
        <f t="shared" si="0"/>
        <v>Unhealthy</v>
      </c>
      <c r="R13" t="str">
        <f t="shared" si="1"/>
        <v>Yes</v>
      </c>
      <c r="S13" t="str">
        <f t="shared" si="2"/>
        <v>Normal</v>
      </c>
      <c r="T13" t="str">
        <f t="shared" si="3"/>
        <v>Low Fiber</v>
      </c>
      <c r="U13" t="str">
        <f t="shared" si="4"/>
        <v>Normal</v>
      </c>
      <c r="V13" t="str">
        <f t="shared" si="5"/>
        <v>High Sodium</v>
      </c>
      <c r="W13" t="str">
        <f t="shared" si="6"/>
        <v>Low Fiber</v>
      </c>
    </row>
    <row r="14" spans="1:23" x14ac:dyDescent="0.25">
      <c r="A14" t="s">
        <v>12</v>
      </c>
      <c r="B14" t="s">
        <v>80</v>
      </c>
      <c r="C14" t="s">
        <v>86</v>
      </c>
      <c r="D14">
        <v>120</v>
      </c>
      <c r="E14">
        <v>1</v>
      </c>
      <c r="F14">
        <v>3</v>
      </c>
      <c r="G14">
        <v>210</v>
      </c>
      <c r="H14">
        <v>0</v>
      </c>
      <c r="I14">
        <v>13</v>
      </c>
      <c r="J14">
        <v>9</v>
      </c>
      <c r="K14">
        <v>45</v>
      </c>
      <c r="L14">
        <v>25</v>
      </c>
      <c r="M14">
        <v>2</v>
      </c>
      <c r="N14">
        <v>1</v>
      </c>
      <c r="O14">
        <v>0.75</v>
      </c>
      <c r="P14">
        <v>19.823573</v>
      </c>
      <c r="Q14" t="str">
        <f t="shared" si="0"/>
        <v>Unhealthy</v>
      </c>
      <c r="R14" t="str">
        <f t="shared" si="1"/>
        <v>Yes</v>
      </c>
      <c r="S14" t="str">
        <f t="shared" si="2"/>
        <v>High sugar</v>
      </c>
      <c r="T14" t="str">
        <f t="shared" si="3"/>
        <v>Low Fiber</v>
      </c>
      <c r="U14" t="str">
        <f t="shared" si="4"/>
        <v>High Calories</v>
      </c>
      <c r="V14" t="str">
        <f t="shared" si="5"/>
        <v>High Sodium</v>
      </c>
      <c r="W14" t="str">
        <f t="shared" si="6"/>
        <v>High Sugar</v>
      </c>
    </row>
    <row r="15" spans="1:23" x14ac:dyDescent="0.25">
      <c r="A15" t="s">
        <v>13</v>
      </c>
      <c r="B15" t="s">
        <v>80</v>
      </c>
      <c r="C15" t="s">
        <v>86</v>
      </c>
      <c r="D15">
        <v>110</v>
      </c>
      <c r="E15">
        <v>3</v>
      </c>
      <c r="F15">
        <v>2</v>
      </c>
      <c r="G15">
        <v>140</v>
      </c>
      <c r="H15">
        <v>2</v>
      </c>
      <c r="I15">
        <v>13</v>
      </c>
      <c r="J15">
        <v>7</v>
      </c>
      <c r="K15">
        <v>105</v>
      </c>
      <c r="L15">
        <v>25</v>
      </c>
      <c r="M15">
        <v>3</v>
      </c>
      <c r="N15">
        <v>1</v>
      </c>
      <c r="O15">
        <v>0.5</v>
      </c>
      <c r="P15">
        <v>40.400207999999999</v>
      </c>
      <c r="Q15" t="str">
        <f t="shared" si="0"/>
        <v>Unhealthy</v>
      </c>
      <c r="R15" t="str">
        <f t="shared" si="1"/>
        <v>Yes</v>
      </c>
      <c r="S15" t="str">
        <f t="shared" si="2"/>
        <v>High sugar</v>
      </c>
      <c r="T15" t="str">
        <f t="shared" si="3"/>
        <v>Low Fiber</v>
      </c>
      <c r="U15" t="str">
        <f t="shared" si="4"/>
        <v>Normal</v>
      </c>
      <c r="V15" t="str">
        <f t="shared" si="5"/>
        <v>Normal</v>
      </c>
      <c r="W15" t="str">
        <f t="shared" si="6"/>
        <v>High Sugar</v>
      </c>
    </row>
    <row r="16" spans="1:23" x14ac:dyDescent="0.25">
      <c r="A16" t="s">
        <v>14</v>
      </c>
      <c r="B16" t="s">
        <v>80</v>
      </c>
      <c r="C16" t="s">
        <v>86</v>
      </c>
      <c r="D16">
        <v>110</v>
      </c>
      <c r="E16">
        <v>1</v>
      </c>
      <c r="F16">
        <v>1</v>
      </c>
      <c r="G16">
        <v>180</v>
      </c>
      <c r="H16">
        <v>0</v>
      </c>
      <c r="I16">
        <v>12</v>
      </c>
      <c r="J16">
        <v>13</v>
      </c>
      <c r="K16">
        <v>55</v>
      </c>
      <c r="L16">
        <v>25</v>
      </c>
      <c r="M16">
        <v>2</v>
      </c>
      <c r="N16">
        <v>1</v>
      </c>
      <c r="O16">
        <v>1</v>
      </c>
      <c r="P16">
        <v>22.736446000000001</v>
      </c>
      <c r="Q16" t="str">
        <f t="shared" si="0"/>
        <v>Unhealthy</v>
      </c>
      <c r="R16" t="str">
        <f t="shared" si="1"/>
        <v>Yes</v>
      </c>
      <c r="S16" t="str">
        <f t="shared" si="2"/>
        <v>High sugar</v>
      </c>
      <c r="T16" t="str">
        <f t="shared" si="3"/>
        <v>Low Fiber</v>
      </c>
      <c r="U16" t="str">
        <f t="shared" si="4"/>
        <v>Normal</v>
      </c>
      <c r="V16" t="str">
        <f t="shared" si="5"/>
        <v>Normal</v>
      </c>
      <c r="W16" t="str">
        <f t="shared" si="6"/>
        <v>High Sugar</v>
      </c>
    </row>
    <row r="17" spans="1:23" x14ac:dyDescent="0.25">
      <c r="A17" t="s">
        <v>15</v>
      </c>
      <c r="B17" t="s">
        <v>85</v>
      </c>
      <c r="C17" t="s">
        <v>86</v>
      </c>
      <c r="D17">
        <v>110</v>
      </c>
      <c r="E17">
        <v>2</v>
      </c>
      <c r="F17">
        <v>0</v>
      </c>
      <c r="G17">
        <v>280</v>
      </c>
      <c r="H17">
        <v>0</v>
      </c>
      <c r="I17">
        <v>22</v>
      </c>
      <c r="J17">
        <v>3</v>
      </c>
      <c r="K17">
        <v>25</v>
      </c>
      <c r="L17">
        <v>25</v>
      </c>
      <c r="M17">
        <v>1</v>
      </c>
      <c r="N17">
        <v>1</v>
      </c>
      <c r="O17">
        <v>1</v>
      </c>
      <c r="P17">
        <v>41.445019000000002</v>
      </c>
      <c r="Q17" t="str">
        <f t="shared" si="0"/>
        <v>Unhealthy</v>
      </c>
      <c r="R17" t="str">
        <f t="shared" si="1"/>
        <v>Yes</v>
      </c>
      <c r="S17" t="str">
        <f t="shared" si="2"/>
        <v>Normal</v>
      </c>
      <c r="T17" t="str">
        <f t="shared" si="3"/>
        <v>Low Fiber</v>
      </c>
      <c r="U17" t="str">
        <f t="shared" si="4"/>
        <v>Normal</v>
      </c>
      <c r="V17" t="str">
        <f t="shared" si="5"/>
        <v>High Sodium</v>
      </c>
      <c r="W17" t="str">
        <f t="shared" si="6"/>
        <v>Low Fiber</v>
      </c>
    </row>
    <row r="18" spans="1:23" x14ac:dyDescent="0.25">
      <c r="A18" t="s">
        <v>16</v>
      </c>
      <c r="B18" t="s">
        <v>81</v>
      </c>
      <c r="C18" t="s">
        <v>86</v>
      </c>
      <c r="D18">
        <v>100</v>
      </c>
      <c r="E18">
        <v>2</v>
      </c>
      <c r="F18">
        <v>0</v>
      </c>
      <c r="G18">
        <v>290</v>
      </c>
      <c r="H18">
        <v>1</v>
      </c>
      <c r="I18">
        <v>21</v>
      </c>
      <c r="J18">
        <v>2</v>
      </c>
      <c r="K18">
        <v>35</v>
      </c>
      <c r="L18">
        <v>25</v>
      </c>
      <c r="M18">
        <v>1</v>
      </c>
      <c r="N18">
        <v>1</v>
      </c>
      <c r="O18">
        <v>1</v>
      </c>
      <c r="P18">
        <v>45.863323999999999</v>
      </c>
      <c r="Q18" t="str">
        <f t="shared" si="0"/>
        <v>Unhealthy</v>
      </c>
      <c r="R18" t="str">
        <f t="shared" si="1"/>
        <v>Yes</v>
      </c>
      <c r="S18" t="str">
        <f t="shared" si="2"/>
        <v>Normal</v>
      </c>
      <c r="T18" t="str">
        <f t="shared" si="3"/>
        <v>Low Fiber</v>
      </c>
      <c r="U18" t="str">
        <f t="shared" si="4"/>
        <v>Normal</v>
      </c>
      <c r="V18" t="str">
        <f t="shared" si="5"/>
        <v>High Sodium</v>
      </c>
      <c r="W18" t="str">
        <f t="shared" si="6"/>
        <v>Low Fiber</v>
      </c>
    </row>
    <row r="19" spans="1:23" x14ac:dyDescent="0.25">
      <c r="A19" t="s">
        <v>17</v>
      </c>
      <c r="B19" t="s">
        <v>81</v>
      </c>
      <c r="C19" t="s">
        <v>86</v>
      </c>
      <c r="D19">
        <v>110</v>
      </c>
      <c r="E19">
        <v>1</v>
      </c>
      <c r="F19">
        <v>0</v>
      </c>
      <c r="G19">
        <v>90</v>
      </c>
      <c r="H19">
        <v>1</v>
      </c>
      <c r="I19">
        <v>13</v>
      </c>
      <c r="J19">
        <v>12</v>
      </c>
      <c r="K19">
        <v>20</v>
      </c>
      <c r="L19">
        <v>25</v>
      </c>
      <c r="M19">
        <v>2</v>
      </c>
      <c r="N19">
        <v>1</v>
      </c>
      <c r="O19">
        <v>1</v>
      </c>
      <c r="P19">
        <v>35.782791000000003</v>
      </c>
      <c r="Q19" t="str">
        <f t="shared" si="0"/>
        <v>Unhealthy</v>
      </c>
      <c r="R19" t="str">
        <f t="shared" si="1"/>
        <v>Yes</v>
      </c>
      <c r="S19" t="str">
        <f>IF( $J$2:$J$82&gt;5,"High sugar","Normal")</f>
        <v>High sugar</v>
      </c>
      <c r="T19" t="str">
        <f t="shared" si="3"/>
        <v>Low Fiber</v>
      </c>
      <c r="U19" t="str">
        <f t="shared" si="4"/>
        <v>Normal</v>
      </c>
      <c r="V19" t="str">
        <f t="shared" si="5"/>
        <v>Normal</v>
      </c>
      <c r="W19" t="str">
        <f t="shared" si="6"/>
        <v>High Sugar</v>
      </c>
    </row>
    <row r="20" spans="1:23" x14ac:dyDescent="0.25">
      <c r="A20" t="s">
        <v>18</v>
      </c>
      <c r="B20" t="s">
        <v>80</v>
      </c>
      <c r="C20" t="s">
        <v>86</v>
      </c>
      <c r="D20">
        <v>110</v>
      </c>
      <c r="E20">
        <v>1</v>
      </c>
      <c r="F20">
        <v>1</v>
      </c>
      <c r="G20">
        <v>180</v>
      </c>
      <c r="H20">
        <v>0</v>
      </c>
      <c r="I20">
        <v>12</v>
      </c>
      <c r="J20">
        <v>13</v>
      </c>
      <c r="K20">
        <v>65</v>
      </c>
      <c r="L20">
        <v>25</v>
      </c>
      <c r="M20">
        <v>2</v>
      </c>
      <c r="N20">
        <v>1</v>
      </c>
      <c r="O20">
        <v>1</v>
      </c>
      <c r="P20">
        <v>22.396512999999999</v>
      </c>
      <c r="Q20" t="str">
        <f t="shared" si="0"/>
        <v>Unhealthy</v>
      </c>
      <c r="R20" t="str">
        <f t="shared" si="1"/>
        <v>Yes</v>
      </c>
      <c r="S20" t="str">
        <f t="shared" ref="S20:S78" si="7">IF( $J$2:$J$82&gt;5,"High sugar","Normal")</f>
        <v>High sugar</v>
      </c>
      <c r="T20" t="str">
        <f t="shared" si="3"/>
        <v>Low Fiber</v>
      </c>
      <c r="U20" t="str">
        <f t="shared" si="4"/>
        <v>Normal</v>
      </c>
      <c r="V20" t="str">
        <f t="shared" si="5"/>
        <v>Normal</v>
      </c>
      <c r="W20" t="str">
        <f t="shared" si="6"/>
        <v>High Sugar</v>
      </c>
    </row>
    <row r="21" spans="1:23" x14ac:dyDescent="0.25">
      <c r="A21" t="s">
        <v>19</v>
      </c>
      <c r="B21" t="s">
        <v>81</v>
      </c>
      <c r="C21" t="s">
        <v>86</v>
      </c>
      <c r="D21">
        <v>110</v>
      </c>
      <c r="E21">
        <v>3</v>
      </c>
      <c r="F21">
        <v>3</v>
      </c>
      <c r="G21">
        <v>140</v>
      </c>
      <c r="H21">
        <v>4</v>
      </c>
      <c r="I21">
        <v>10</v>
      </c>
      <c r="J21">
        <v>7</v>
      </c>
      <c r="K21">
        <v>160</v>
      </c>
      <c r="L21">
        <v>25</v>
      </c>
      <c r="M21">
        <v>3</v>
      </c>
      <c r="N21">
        <v>1</v>
      </c>
      <c r="O21">
        <v>0.5</v>
      </c>
      <c r="P21">
        <v>40.448771999999998</v>
      </c>
      <c r="Q21" t="str">
        <f t="shared" si="0"/>
        <v>Unhealthy</v>
      </c>
      <c r="R21" t="str">
        <f t="shared" si="1"/>
        <v>Yes</v>
      </c>
      <c r="S21" t="str">
        <f t="shared" si="7"/>
        <v>High sugar</v>
      </c>
      <c r="T21" t="str">
        <f t="shared" si="3"/>
        <v>Normal</v>
      </c>
      <c r="U21" t="str">
        <f t="shared" si="4"/>
        <v>Normal</v>
      </c>
      <c r="V21" t="str">
        <f t="shared" si="5"/>
        <v>Normal</v>
      </c>
      <c r="W21" t="str">
        <f t="shared" si="6"/>
        <v>High Sugar</v>
      </c>
    </row>
    <row r="22" spans="1:23" x14ac:dyDescent="0.25">
      <c r="A22" t="s">
        <v>20</v>
      </c>
      <c r="B22" t="s">
        <v>82</v>
      </c>
      <c r="C22" t="s">
        <v>87</v>
      </c>
      <c r="D22">
        <v>100</v>
      </c>
      <c r="E22">
        <v>3</v>
      </c>
      <c r="F22">
        <v>0</v>
      </c>
      <c r="G22">
        <v>80</v>
      </c>
      <c r="H22">
        <v>1</v>
      </c>
      <c r="I22">
        <v>21</v>
      </c>
      <c r="J22">
        <v>0</v>
      </c>
      <c r="K22">
        <v>-1</v>
      </c>
      <c r="L22">
        <v>0</v>
      </c>
      <c r="M22">
        <v>2</v>
      </c>
      <c r="N22">
        <v>1</v>
      </c>
      <c r="O22" t="s">
        <v>102</v>
      </c>
      <c r="P22">
        <v>64.533816000000002</v>
      </c>
      <c r="Q22" t="str">
        <f t="shared" si="0"/>
        <v>Unhealthy</v>
      </c>
      <c r="R22" t="str">
        <f t="shared" si="1"/>
        <v>Yes</v>
      </c>
      <c r="S22" t="str">
        <f t="shared" si="7"/>
        <v>Normal</v>
      </c>
      <c r="T22" t="str">
        <f t="shared" si="3"/>
        <v>Low Fiber</v>
      </c>
      <c r="U22" t="str">
        <f t="shared" si="4"/>
        <v>Normal</v>
      </c>
      <c r="V22" t="str">
        <f t="shared" si="5"/>
        <v>Normal</v>
      </c>
      <c r="W22" t="str">
        <f t="shared" si="6"/>
        <v>Low Fiber</v>
      </c>
    </row>
    <row r="23" spans="1:23" x14ac:dyDescent="0.25">
      <c r="A23" t="s">
        <v>21</v>
      </c>
      <c r="B23" t="s">
        <v>81</v>
      </c>
      <c r="C23" t="s">
        <v>86</v>
      </c>
      <c r="D23">
        <v>110</v>
      </c>
      <c r="E23">
        <v>2</v>
      </c>
      <c r="F23">
        <v>0</v>
      </c>
      <c r="G23">
        <v>220</v>
      </c>
      <c r="H23">
        <v>1</v>
      </c>
      <c r="I23">
        <v>21</v>
      </c>
      <c r="J23">
        <v>3</v>
      </c>
      <c r="K23">
        <v>30</v>
      </c>
      <c r="L23">
        <v>25</v>
      </c>
      <c r="M23">
        <v>3</v>
      </c>
      <c r="N23">
        <v>1</v>
      </c>
      <c r="O23">
        <v>1</v>
      </c>
      <c r="P23">
        <v>46.895643999999997</v>
      </c>
      <c r="Q23" t="str">
        <f t="shared" si="0"/>
        <v>Unhealthy</v>
      </c>
      <c r="R23" t="str">
        <f t="shared" si="1"/>
        <v>Yes</v>
      </c>
      <c r="S23" t="str">
        <f t="shared" si="7"/>
        <v>Normal</v>
      </c>
      <c r="T23" t="str">
        <f t="shared" si="3"/>
        <v>Low Fiber</v>
      </c>
      <c r="U23" t="str">
        <f t="shared" si="4"/>
        <v>Normal</v>
      </c>
      <c r="V23" t="str">
        <f t="shared" si="5"/>
        <v>High Sodium</v>
      </c>
      <c r="W23" t="str">
        <f t="shared" si="6"/>
        <v>Low Fiber</v>
      </c>
    </row>
    <row r="24" spans="1:23" x14ac:dyDescent="0.25">
      <c r="A24" t="s">
        <v>22</v>
      </c>
      <c r="B24" t="s">
        <v>80</v>
      </c>
      <c r="C24" t="s">
        <v>86</v>
      </c>
      <c r="D24">
        <v>100</v>
      </c>
      <c r="E24">
        <v>2</v>
      </c>
      <c r="F24">
        <v>1</v>
      </c>
      <c r="G24">
        <v>140</v>
      </c>
      <c r="H24">
        <v>2</v>
      </c>
      <c r="I24">
        <v>11</v>
      </c>
      <c r="J24">
        <v>10</v>
      </c>
      <c r="K24">
        <v>120</v>
      </c>
      <c r="L24">
        <v>25</v>
      </c>
      <c r="M24">
        <v>3</v>
      </c>
      <c r="N24">
        <v>1</v>
      </c>
      <c r="O24">
        <v>0.75</v>
      </c>
      <c r="P24">
        <v>36.176195999999997</v>
      </c>
      <c r="Q24" t="str">
        <f t="shared" si="0"/>
        <v>Unhealthy</v>
      </c>
      <c r="R24" t="str">
        <f t="shared" si="1"/>
        <v>Yes</v>
      </c>
      <c r="S24" t="str">
        <f t="shared" si="7"/>
        <v>High sugar</v>
      </c>
      <c r="T24" t="str">
        <f t="shared" si="3"/>
        <v>Low Fiber</v>
      </c>
      <c r="U24" t="str">
        <f t="shared" si="4"/>
        <v>Normal</v>
      </c>
      <c r="V24" t="str">
        <f t="shared" si="5"/>
        <v>Normal</v>
      </c>
      <c r="W24" t="str">
        <f t="shared" si="6"/>
        <v>High Sugar</v>
      </c>
    </row>
    <row r="25" spans="1:23" x14ac:dyDescent="0.25">
      <c r="A25" t="s">
        <v>23</v>
      </c>
      <c r="B25" t="s">
        <v>85</v>
      </c>
      <c r="C25" t="s">
        <v>86</v>
      </c>
      <c r="D25">
        <v>100</v>
      </c>
      <c r="E25">
        <v>2</v>
      </c>
      <c r="F25">
        <v>0</v>
      </c>
      <c r="G25">
        <v>190</v>
      </c>
      <c r="H25">
        <v>1</v>
      </c>
      <c r="I25">
        <v>18</v>
      </c>
      <c r="J25">
        <v>5</v>
      </c>
      <c r="K25">
        <v>80</v>
      </c>
      <c r="L25">
        <v>25</v>
      </c>
      <c r="M25">
        <v>3</v>
      </c>
      <c r="N25">
        <v>1</v>
      </c>
      <c r="O25">
        <v>0.75</v>
      </c>
      <c r="P25">
        <v>44.330855999999997</v>
      </c>
      <c r="Q25" t="str">
        <f t="shared" si="0"/>
        <v>Unhealthy</v>
      </c>
      <c r="R25" t="str">
        <f t="shared" si="1"/>
        <v>Yes</v>
      </c>
      <c r="S25" t="str">
        <f t="shared" si="7"/>
        <v>Normal</v>
      </c>
      <c r="T25" t="str">
        <f t="shared" si="3"/>
        <v>Low Fiber</v>
      </c>
      <c r="U25" t="str">
        <f t="shared" si="4"/>
        <v>Normal</v>
      </c>
      <c r="V25" t="str">
        <f t="shared" si="5"/>
        <v>Normal</v>
      </c>
      <c r="W25" t="str">
        <f t="shared" si="6"/>
        <v>Low Fiber</v>
      </c>
    </row>
    <row r="26" spans="1:23" x14ac:dyDescent="0.25">
      <c r="A26" t="s">
        <v>24</v>
      </c>
      <c r="B26" t="s">
        <v>81</v>
      </c>
      <c r="C26" t="s">
        <v>86</v>
      </c>
      <c r="D26">
        <v>110</v>
      </c>
      <c r="E26">
        <v>2</v>
      </c>
      <c r="F26">
        <v>1</v>
      </c>
      <c r="G26">
        <v>125</v>
      </c>
      <c r="H26">
        <v>1</v>
      </c>
      <c r="I26">
        <v>11</v>
      </c>
      <c r="J26">
        <v>13</v>
      </c>
      <c r="K26">
        <v>30</v>
      </c>
      <c r="L26">
        <v>25</v>
      </c>
      <c r="M26">
        <v>2</v>
      </c>
      <c r="N26">
        <v>1</v>
      </c>
      <c r="O26">
        <v>1</v>
      </c>
      <c r="P26">
        <v>32.207582000000002</v>
      </c>
      <c r="Q26" t="str">
        <f t="shared" si="0"/>
        <v>Unhealthy</v>
      </c>
      <c r="R26" t="str">
        <f t="shared" si="1"/>
        <v>Yes</v>
      </c>
      <c r="S26" t="str">
        <f t="shared" si="7"/>
        <v>High sugar</v>
      </c>
      <c r="T26" t="str">
        <f t="shared" si="3"/>
        <v>Low Fiber</v>
      </c>
      <c r="U26" t="str">
        <f t="shared" si="4"/>
        <v>Normal</v>
      </c>
      <c r="V26" t="str">
        <f t="shared" si="5"/>
        <v>Normal</v>
      </c>
      <c r="W26" t="str">
        <f t="shared" si="6"/>
        <v>High Sugar</v>
      </c>
    </row>
    <row r="27" spans="1:23" x14ac:dyDescent="0.25">
      <c r="A27" t="s">
        <v>25</v>
      </c>
      <c r="B27" t="s">
        <v>81</v>
      </c>
      <c r="C27" t="s">
        <v>86</v>
      </c>
      <c r="D27">
        <v>110</v>
      </c>
      <c r="E27">
        <v>1</v>
      </c>
      <c r="F27">
        <v>0</v>
      </c>
      <c r="G27">
        <v>200</v>
      </c>
      <c r="H27">
        <v>1</v>
      </c>
      <c r="I27">
        <v>14</v>
      </c>
      <c r="J27">
        <v>11</v>
      </c>
      <c r="K27">
        <v>25</v>
      </c>
      <c r="L27">
        <v>25</v>
      </c>
      <c r="M27">
        <v>1</v>
      </c>
      <c r="N27">
        <v>1</v>
      </c>
      <c r="O27">
        <v>0.75</v>
      </c>
      <c r="P27">
        <v>31.435973000000001</v>
      </c>
      <c r="Q27" t="str">
        <f t="shared" si="0"/>
        <v>Unhealthy</v>
      </c>
      <c r="R27" t="str">
        <f t="shared" si="1"/>
        <v>Yes</v>
      </c>
      <c r="S27" t="str">
        <f t="shared" si="7"/>
        <v>High sugar</v>
      </c>
      <c r="T27" t="str">
        <f t="shared" si="3"/>
        <v>Low Fiber</v>
      </c>
      <c r="U27" t="str">
        <f t="shared" si="4"/>
        <v>Normal</v>
      </c>
      <c r="V27" t="str">
        <f t="shared" si="5"/>
        <v>High Sodium</v>
      </c>
      <c r="W27" t="str">
        <f t="shared" si="6"/>
        <v>High Sugar</v>
      </c>
    </row>
    <row r="28" spans="1:23" x14ac:dyDescent="0.25">
      <c r="A28" t="s">
        <v>26</v>
      </c>
      <c r="B28" t="s">
        <v>81</v>
      </c>
      <c r="C28" t="s">
        <v>86</v>
      </c>
      <c r="D28">
        <v>100</v>
      </c>
      <c r="E28">
        <v>3</v>
      </c>
      <c r="F28">
        <v>0</v>
      </c>
      <c r="G28">
        <v>0</v>
      </c>
      <c r="H28">
        <v>3</v>
      </c>
      <c r="I28">
        <v>14</v>
      </c>
      <c r="J28">
        <v>7</v>
      </c>
      <c r="K28">
        <v>100</v>
      </c>
      <c r="L28">
        <v>25</v>
      </c>
      <c r="M28">
        <v>2</v>
      </c>
      <c r="N28">
        <v>1</v>
      </c>
      <c r="O28">
        <v>0.8</v>
      </c>
      <c r="P28">
        <v>58.345140999999998</v>
      </c>
      <c r="Q28" t="str">
        <f t="shared" si="0"/>
        <v>Unhealthy</v>
      </c>
      <c r="R28" t="str">
        <f t="shared" si="1"/>
        <v>Yes</v>
      </c>
      <c r="S28" t="str">
        <f t="shared" si="7"/>
        <v>High sugar</v>
      </c>
      <c r="T28" t="str">
        <f t="shared" si="3"/>
        <v>Low Fiber</v>
      </c>
      <c r="U28" t="str">
        <f t="shared" si="4"/>
        <v>Normal</v>
      </c>
      <c r="V28" t="str">
        <f t="shared" si="5"/>
        <v>Normal</v>
      </c>
      <c r="W28" t="str">
        <f t="shared" si="6"/>
        <v>High Sugar</v>
      </c>
    </row>
    <row r="29" spans="1:23" x14ac:dyDescent="0.25">
      <c r="A29" t="s">
        <v>27</v>
      </c>
      <c r="B29" t="s">
        <v>83</v>
      </c>
      <c r="C29" t="s">
        <v>86</v>
      </c>
      <c r="D29">
        <v>120</v>
      </c>
      <c r="E29">
        <v>3</v>
      </c>
      <c r="F29">
        <v>2</v>
      </c>
      <c r="G29">
        <v>160</v>
      </c>
      <c r="H29">
        <v>5</v>
      </c>
      <c r="I29">
        <v>12</v>
      </c>
      <c r="J29">
        <v>10</v>
      </c>
      <c r="K29">
        <v>200</v>
      </c>
      <c r="L29">
        <v>25</v>
      </c>
      <c r="M29">
        <v>3</v>
      </c>
      <c r="N29">
        <v>1.25</v>
      </c>
      <c r="O29">
        <v>0.67</v>
      </c>
      <c r="P29">
        <v>40.917046999999997</v>
      </c>
      <c r="Q29" t="str">
        <f t="shared" si="0"/>
        <v>Unhealthy</v>
      </c>
      <c r="R29" t="str">
        <f t="shared" si="1"/>
        <v>Yes</v>
      </c>
      <c r="S29" t="str">
        <f t="shared" si="7"/>
        <v>High sugar</v>
      </c>
      <c r="T29" t="str">
        <f t="shared" si="3"/>
        <v>Normal</v>
      </c>
      <c r="U29" t="str">
        <f t="shared" si="4"/>
        <v>High Calories</v>
      </c>
      <c r="V29" t="str">
        <f t="shared" si="5"/>
        <v>Normal</v>
      </c>
      <c r="W29" t="str">
        <f t="shared" si="6"/>
        <v>High Sugar</v>
      </c>
    </row>
    <row r="30" spans="1:23" x14ac:dyDescent="0.25">
      <c r="A30" t="s">
        <v>28</v>
      </c>
      <c r="B30" t="s">
        <v>81</v>
      </c>
      <c r="C30" t="s">
        <v>86</v>
      </c>
      <c r="D30">
        <v>120</v>
      </c>
      <c r="E30">
        <v>3</v>
      </c>
      <c r="F30">
        <v>0</v>
      </c>
      <c r="G30">
        <v>240</v>
      </c>
      <c r="H30">
        <v>5</v>
      </c>
      <c r="I30">
        <v>14</v>
      </c>
      <c r="J30">
        <v>12</v>
      </c>
      <c r="K30">
        <v>190</v>
      </c>
      <c r="L30">
        <v>25</v>
      </c>
      <c r="M30">
        <v>3</v>
      </c>
      <c r="N30">
        <v>1.33</v>
      </c>
      <c r="O30">
        <v>0.67</v>
      </c>
      <c r="P30">
        <v>41.015492000000002</v>
      </c>
      <c r="Q30" t="str">
        <f t="shared" si="0"/>
        <v>Unhealthy</v>
      </c>
      <c r="R30" t="str">
        <f t="shared" si="1"/>
        <v>Yes</v>
      </c>
      <c r="S30" t="str">
        <f t="shared" si="7"/>
        <v>High sugar</v>
      </c>
      <c r="T30" t="str">
        <f t="shared" si="3"/>
        <v>Normal</v>
      </c>
      <c r="U30" t="str">
        <f t="shared" si="4"/>
        <v>High Calories</v>
      </c>
      <c r="V30" t="str">
        <f t="shared" si="5"/>
        <v>High Sodium</v>
      </c>
      <c r="W30" t="str">
        <f t="shared" si="6"/>
        <v>High Sugar</v>
      </c>
    </row>
    <row r="31" spans="1:23" x14ac:dyDescent="0.25">
      <c r="A31" t="s">
        <v>29</v>
      </c>
      <c r="B31" t="s">
        <v>83</v>
      </c>
      <c r="C31" t="s">
        <v>86</v>
      </c>
      <c r="D31">
        <v>110</v>
      </c>
      <c r="E31">
        <v>1</v>
      </c>
      <c r="F31">
        <v>1</v>
      </c>
      <c r="G31">
        <v>135</v>
      </c>
      <c r="H31">
        <v>0</v>
      </c>
      <c r="I31">
        <v>13</v>
      </c>
      <c r="J31">
        <v>12</v>
      </c>
      <c r="K31">
        <v>25</v>
      </c>
      <c r="L31">
        <v>25</v>
      </c>
      <c r="M31">
        <v>2</v>
      </c>
      <c r="N31">
        <v>1</v>
      </c>
      <c r="O31">
        <v>0.75</v>
      </c>
      <c r="P31">
        <v>28.025765</v>
      </c>
      <c r="Q31" t="str">
        <f t="shared" si="0"/>
        <v>Unhealthy</v>
      </c>
      <c r="R31" t="str">
        <f t="shared" si="1"/>
        <v>Yes</v>
      </c>
      <c r="S31" t="str">
        <f t="shared" si="7"/>
        <v>High sugar</v>
      </c>
      <c r="T31" t="str">
        <f t="shared" si="3"/>
        <v>Low Fiber</v>
      </c>
      <c r="U31" t="str">
        <f t="shared" si="4"/>
        <v>Normal</v>
      </c>
      <c r="V31" t="str">
        <f t="shared" si="5"/>
        <v>Normal</v>
      </c>
      <c r="W31" t="str">
        <f t="shared" si="6"/>
        <v>High Sugar</v>
      </c>
    </row>
    <row r="32" spans="1:23" x14ac:dyDescent="0.25">
      <c r="A32" t="s">
        <v>30</v>
      </c>
      <c r="B32" t="s">
        <v>83</v>
      </c>
      <c r="C32" t="s">
        <v>86</v>
      </c>
      <c r="D32">
        <v>100</v>
      </c>
      <c r="E32">
        <v>2</v>
      </c>
      <c r="F32">
        <v>0</v>
      </c>
      <c r="G32">
        <v>45</v>
      </c>
      <c r="H32">
        <v>0</v>
      </c>
      <c r="I32">
        <v>11</v>
      </c>
      <c r="J32">
        <v>15</v>
      </c>
      <c r="K32">
        <v>40</v>
      </c>
      <c r="L32">
        <v>25</v>
      </c>
      <c r="M32">
        <v>1</v>
      </c>
      <c r="N32">
        <v>1</v>
      </c>
      <c r="O32">
        <v>0.88</v>
      </c>
      <c r="P32">
        <v>35.252443999999997</v>
      </c>
      <c r="Q32" t="str">
        <f t="shared" si="0"/>
        <v>Unhealthy</v>
      </c>
      <c r="R32" t="str">
        <f t="shared" si="1"/>
        <v>Yes</v>
      </c>
      <c r="S32" t="str">
        <f t="shared" si="7"/>
        <v>High sugar</v>
      </c>
      <c r="T32" t="str">
        <f t="shared" si="3"/>
        <v>Low Fiber</v>
      </c>
      <c r="U32" t="str">
        <f t="shared" si="4"/>
        <v>Normal</v>
      </c>
      <c r="V32" t="str">
        <f t="shared" si="5"/>
        <v>Normal</v>
      </c>
      <c r="W32" t="str">
        <f t="shared" si="6"/>
        <v>High Sugar</v>
      </c>
    </row>
    <row r="33" spans="1:23" x14ac:dyDescent="0.25">
      <c r="A33" t="s">
        <v>31</v>
      </c>
      <c r="B33" t="s">
        <v>80</v>
      </c>
      <c r="C33" t="s">
        <v>86</v>
      </c>
      <c r="D33">
        <v>110</v>
      </c>
      <c r="E33">
        <v>1</v>
      </c>
      <c r="F33">
        <v>1</v>
      </c>
      <c r="G33">
        <v>280</v>
      </c>
      <c r="H33">
        <v>0</v>
      </c>
      <c r="I33">
        <v>15</v>
      </c>
      <c r="J33">
        <v>9</v>
      </c>
      <c r="K33">
        <v>45</v>
      </c>
      <c r="L33">
        <v>25</v>
      </c>
      <c r="M33">
        <v>2</v>
      </c>
      <c r="N33">
        <v>1</v>
      </c>
      <c r="O33">
        <v>0.75</v>
      </c>
      <c r="P33">
        <v>23.804043</v>
      </c>
      <c r="Q33" t="str">
        <f t="shared" si="0"/>
        <v>Unhealthy</v>
      </c>
      <c r="R33" t="str">
        <f t="shared" si="1"/>
        <v>Yes</v>
      </c>
      <c r="S33" t="str">
        <f t="shared" si="7"/>
        <v>High sugar</v>
      </c>
      <c r="T33" t="str">
        <f t="shared" si="3"/>
        <v>Low Fiber</v>
      </c>
      <c r="U33" t="str">
        <f t="shared" si="4"/>
        <v>Normal</v>
      </c>
      <c r="V33" t="str">
        <f t="shared" si="5"/>
        <v>High Sodium</v>
      </c>
      <c r="W33" t="str">
        <f t="shared" si="6"/>
        <v>High Sugar</v>
      </c>
    </row>
    <row r="34" spans="1:23" x14ac:dyDescent="0.25">
      <c r="A34" t="s">
        <v>32</v>
      </c>
      <c r="B34" t="s">
        <v>83</v>
      </c>
      <c r="C34" t="s">
        <v>86</v>
      </c>
      <c r="D34">
        <v>100</v>
      </c>
      <c r="E34">
        <v>3</v>
      </c>
      <c r="F34">
        <v>1</v>
      </c>
      <c r="G34">
        <v>140</v>
      </c>
      <c r="H34">
        <v>3</v>
      </c>
      <c r="I34">
        <v>15</v>
      </c>
      <c r="J34">
        <v>5</v>
      </c>
      <c r="K34">
        <v>85</v>
      </c>
      <c r="L34">
        <v>25</v>
      </c>
      <c r="M34">
        <v>3</v>
      </c>
      <c r="N34">
        <v>1</v>
      </c>
      <c r="O34">
        <v>0.88</v>
      </c>
      <c r="P34">
        <v>52.076897000000002</v>
      </c>
      <c r="Q34" t="str">
        <f t="shared" si="0"/>
        <v>Healthy</v>
      </c>
      <c r="R34" t="str">
        <f t="shared" si="1"/>
        <v>No</v>
      </c>
      <c r="S34" t="str">
        <f t="shared" si="7"/>
        <v>Normal</v>
      </c>
      <c r="T34" t="str">
        <f t="shared" si="3"/>
        <v>Low Fiber</v>
      </c>
      <c r="U34" t="str">
        <f t="shared" si="4"/>
        <v>Normal</v>
      </c>
      <c r="V34" t="str">
        <f t="shared" si="5"/>
        <v>Normal</v>
      </c>
      <c r="W34" t="str">
        <f t="shared" si="6"/>
        <v>Low Fiber</v>
      </c>
    </row>
    <row r="35" spans="1:23" x14ac:dyDescent="0.25">
      <c r="A35" t="s">
        <v>33</v>
      </c>
      <c r="B35" t="s">
        <v>83</v>
      </c>
      <c r="C35" t="s">
        <v>86</v>
      </c>
      <c r="D35">
        <v>110</v>
      </c>
      <c r="E35">
        <v>3</v>
      </c>
      <c r="F35">
        <v>0</v>
      </c>
      <c r="G35">
        <v>170</v>
      </c>
      <c r="H35">
        <v>3</v>
      </c>
      <c r="I35">
        <v>17</v>
      </c>
      <c r="J35">
        <v>3</v>
      </c>
      <c r="K35">
        <v>90</v>
      </c>
      <c r="L35">
        <v>25</v>
      </c>
      <c r="M35">
        <v>3</v>
      </c>
      <c r="N35">
        <v>1</v>
      </c>
      <c r="O35">
        <v>0.25</v>
      </c>
      <c r="P35">
        <v>53.371006999999999</v>
      </c>
      <c r="Q35" t="str">
        <f t="shared" si="0"/>
        <v>Healthy</v>
      </c>
      <c r="R35" t="str">
        <f t="shared" si="1"/>
        <v>No</v>
      </c>
      <c r="S35" t="str">
        <f t="shared" si="7"/>
        <v>Normal</v>
      </c>
      <c r="T35" t="str">
        <f t="shared" si="3"/>
        <v>Low Fiber</v>
      </c>
      <c r="U35" t="str">
        <f t="shared" si="4"/>
        <v>Normal</v>
      </c>
      <c r="V35" t="str">
        <f t="shared" si="5"/>
        <v>Normal</v>
      </c>
      <c r="W35" t="str">
        <f t="shared" si="6"/>
        <v>Low Fiber</v>
      </c>
    </row>
    <row r="36" spans="1:23" x14ac:dyDescent="0.25">
      <c r="A36" t="s">
        <v>34</v>
      </c>
      <c r="B36" t="s">
        <v>83</v>
      </c>
      <c r="C36" t="s">
        <v>86</v>
      </c>
      <c r="D36">
        <v>120</v>
      </c>
      <c r="E36">
        <v>3</v>
      </c>
      <c r="F36">
        <v>3</v>
      </c>
      <c r="G36">
        <v>75</v>
      </c>
      <c r="H36">
        <v>3</v>
      </c>
      <c r="I36">
        <v>13</v>
      </c>
      <c r="J36">
        <v>4</v>
      </c>
      <c r="K36">
        <v>100</v>
      </c>
      <c r="L36">
        <v>25</v>
      </c>
      <c r="M36">
        <v>3</v>
      </c>
      <c r="N36">
        <v>1</v>
      </c>
      <c r="O36">
        <v>0.33</v>
      </c>
      <c r="P36">
        <v>45.811715999999997</v>
      </c>
      <c r="Q36" t="str">
        <f t="shared" si="0"/>
        <v>Healthy</v>
      </c>
      <c r="R36" t="str">
        <f t="shared" si="1"/>
        <v>No</v>
      </c>
      <c r="S36" t="str">
        <f t="shared" si="7"/>
        <v>Normal</v>
      </c>
      <c r="T36" t="str">
        <f t="shared" si="3"/>
        <v>Low Fiber</v>
      </c>
      <c r="U36" t="str">
        <f t="shared" si="4"/>
        <v>High Calories</v>
      </c>
      <c r="V36" t="str">
        <f t="shared" si="5"/>
        <v>Normal</v>
      </c>
      <c r="W36" t="str">
        <f t="shared" si="6"/>
        <v>Low Fiber</v>
      </c>
    </row>
    <row r="37" spans="1:23" x14ac:dyDescent="0.25">
      <c r="A37" t="s">
        <v>35</v>
      </c>
      <c r="B37" t="s">
        <v>84</v>
      </c>
      <c r="C37" t="s">
        <v>86</v>
      </c>
      <c r="D37">
        <v>120</v>
      </c>
      <c r="E37">
        <v>1</v>
      </c>
      <c r="F37">
        <v>2</v>
      </c>
      <c r="G37">
        <v>220</v>
      </c>
      <c r="H37">
        <v>1</v>
      </c>
      <c r="I37">
        <v>12</v>
      </c>
      <c r="J37">
        <v>11</v>
      </c>
      <c r="K37">
        <v>45</v>
      </c>
      <c r="L37">
        <v>25</v>
      </c>
      <c r="M37">
        <v>2</v>
      </c>
      <c r="N37">
        <v>1</v>
      </c>
      <c r="O37">
        <v>1</v>
      </c>
      <c r="P37">
        <v>21.871292</v>
      </c>
      <c r="Q37" t="str">
        <f t="shared" si="0"/>
        <v>Unhealthy</v>
      </c>
      <c r="R37" t="str">
        <f t="shared" si="1"/>
        <v>Yes</v>
      </c>
      <c r="S37" t="str">
        <f t="shared" si="7"/>
        <v>High sugar</v>
      </c>
      <c r="T37" t="str">
        <f t="shared" si="3"/>
        <v>Low Fiber</v>
      </c>
      <c r="U37" t="str">
        <f t="shared" si="4"/>
        <v>High Calories</v>
      </c>
      <c r="V37" t="str">
        <f t="shared" si="5"/>
        <v>High Sodium</v>
      </c>
      <c r="W37" t="str">
        <f t="shared" si="6"/>
        <v>High Sugar</v>
      </c>
    </row>
    <row r="38" spans="1:23" x14ac:dyDescent="0.25">
      <c r="A38" t="s">
        <v>36</v>
      </c>
      <c r="B38" t="s">
        <v>80</v>
      </c>
      <c r="C38" t="s">
        <v>86</v>
      </c>
      <c r="D38">
        <v>110</v>
      </c>
      <c r="E38">
        <v>3</v>
      </c>
      <c r="F38">
        <v>1</v>
      </c>
      <c r="G38">
        <v>250</v>
      </c>
      <c r="H38">
        <v>1.5</v>
      </c>
      <c r="I38">
        <v>11.5</v>
      </c>
      <c r="J38">
        <v>10</v>
      </c>
      <c r="K38">
        <v>90</v>
      </c>
      <c r="L38">
        <v>25</v>
      </c>
      <c r="M38">
        <v>1</v>
      </c>
      <c r="N38">
        <v>1</v>
      </c>
      <c r="O38">
        <v>0.75</v>
      </c>
      <c r="P38">
        <v>31.072216999999998</v>
      </c>
      <c r="Q38" t="str">
        <f t="shared" si="0"/>
        <v>Unhealthy</v>
      </c>
      <c r="R38" t="str">
        <f t="shared" si="1"/>
        <v>Yes</v>
      </c>
      <c r="S38" t="str">
        <f t="shared" si="7"/>
        <v>High sugar</v>
      </c>
      <c r="T38" t="str">
        <f t="shared" si="3"/>
        <v>Low Fiber</v>
      </c>
      <c r="U38" t="str">
        <f t="shared" si="4"/>
        <v>Normal</v>
      </c>
      <c r="V38" t="str">
        <f t="shared" si="5"/>
        <v>High Sodium</v>
      </c>
      <c r="W38" t="str">
        <f t="shared" si="6"/>
        <v>High Sugar</v>
      </c>
    </row>
    <row r="39" spans="1:23" x14ac:dyDescent="0.25">
      <c r="A39" t="s">
        <v>37</v>
      </c>
      <c r="B39" t="s">
        <v>83</v>
      </c>
      <c r="C39" t="s">
        <v>86</v>
      </c>
      <c r="D39">
        <v>110</v>
      </c>
      <c r="E39">
        <v>1</v>
      </c>
      <c r="F39">
        <v>0</v>
      </c>
      <c r="G39">
        <v>180</v>
      </c>
      <c r="H39">
        <v>0</v>
      </c>
      <c r="I39">
        <v>14</v>
      </c>
      <c r="J39">
        <v>11</v>
      </c>
      <c r="K39">
        <v>35</v>
      </c>
      <c r="L39">
        <v>25</v>
      </c>
      <c r="M39">
        <v>1</v>
      </c>
      <c r="N39">
        <v>1</v>
      </c>
      <c r="O39">
        <v>1.33</v>
      </c>
      <c r="P39">
        <v>28.742414</v>
      </c>
      <c r="Q39" t="str">
        <f t="shared" si="0"/>
        <v>Unhealthy</v>
      </c>
      <c r="R39" t="str">
        <f t="shared" si="1"/>
        <v>Yes</v>
      </c>
      <c r="S39" t="str">
        <f t="shared" si="7"/>
        <v>High sugar</v>
      </c>
      <c r="T39" t="str">
        <f t="shared" si="3"/>
        <v>Low Fiber</v>
      </c>
      <c r="U39" t="str">
        <f t="shared" si="4"/>
        <v>Normal</v>
      </c>
      <c r="V39" t="str">
        <f t="shared" si="5"/>
        <v>Normal</v>
      </c>
      <c r="W39" t="str">
        <f t="shared" si="6"/>
        <v>High Sugar</v>
      </c>
    </row>
    <row r="40" spans="1:23" x14ac:dyDescent="0.25">
      <c r="A40" t="s">
        <v>38</v>
      </c>
      <c r="B40" t="s">
        <v>81</v>
      </c>
      <c r="C40" t="s">
        <v>86</v>
      </c>
      <c r="D40">
        <v>110</v>
      </c>
      <c r="E40">
        <v>2</v>
      </c>
      <c r="F40">
        <v>1</v>
      </c>
      <c r="G40">
        <v>170</v>
      </c>
      <c r="H40">
        <v>1</v>
      </c>
      <c r="I40">
        <v>17</v>
      </c>
      <c r="J40">
        <v>6</v>
      </c>
      <c r="K40">
        <v>60</v>
      </c>
      <c r="L40">
        <v>100</v>
      </c>
      <c r="M40">
        <v>3</v>
      </c>
      <c r="N40">
        <v>1</v>
      </c>
      <c r="O40">
        <v>1</v>
      </c>
      <c r="P40">
        <v>36.523682999999998</v>
      </c>
      <c r="Q40" t="str">
        <f t="shared" si="0"/>
        <v>Unhealthy</v>
      </c>
      <c r="R40" t="str">
        <f t="shared" si="1"/>
        <v>Yes</v>
      </c>
      <c r="S40" t="str">
        <f t="shared" si="7"/>
        <v>High sugar</v>
      </c>
      <c r="T40" t="str">
        <f t="shared" si="3"/>
        <v>Low Fiber</v>
      </c>
      <c r="U40" t="str">
        <f t="shared" si="4"/>
        <v>Normal</v>
      </c>
      <c r="V40" t="str">
        <f t="shared" si="5"/>
        <v>Normal</v>
      </c>
      <c r="W40" t="str">
        <f t="shared" si="6"/>
        <v>High Sugar</v>
      </c>
    </row>
    <row r="41" spans="1:23" x14ac:dyDescent="0.25">
      <c r="A41" t="s">
        <v>39</v>
      </c>
      <c r="B41" t="s">
        <v>81</v>
      </c>
      <c r="C41" t="s">
        <v>86</v>
      </c>
      <c r="D41">
        <v>140</v>
      </c>
      <c r="E41">
        <v>3</v>
      </c>
      <c r="F41">
        <v>1</v>
      </c>
      <c r="G41">
        <v>170</v>
      </c>
      <c r="H41">
        <v>2</v>
      </c>
      <c r="I41">
        <v>20</v>
      </c>
      <c r="J41">
        <v>9</v>
      </c>
      <c r="K41">
        <v>95</v>
      </c>
      <c r="L41">
        <v>100</v>
      </c>
      <c r="M41">
        <v>3</v>
      </c>
      <c r="N41">
        <v>1.3</v>
      </c>
      <c r="O41">
        <v>0.75</v>
      </c>
      <c r="P41">
        <v>36.471511999999997</v>
      </c>
      <c r="Q41" t="str">
        <f t="shared" si="0"/>
        <v>Unhealthy</v>
      </c>
      <c r="R41" t="str">
        <f t="shared" si="1"/>
        <v>Yes</v>
      </c>
      <c r="S41" t="str">
        <f t="shared" si="7"/>
        <v>High sugar</v>
      </c>
      <c r="T41" t="str">
        <f t="shared" si="3"/>
        <v>Low Fiber</v>
      </c>
      <c r="U41" t="str">
        <f t="shared" si="4"/>
        <v>High Calories</v>
      </c>
      <c r="V41" t="str">
        <f t="shared" si="5"/>
        <v>Normal</v>
      </c>
      <c r="W41" t="str">
        <f t="shared" si="6"/>
        <v>High Sugar</v>
      </c>
    </row>
    <row r="42" spans="1:23" x14ac:dyDescent="0.25">
      <c r="A42" t="s">
        <v>40</v>
      </c>
      <c r="B42" t="s">
        <v>80</v>
      </c>
      <c r="C42" t="s">
        <v>86</v>
      </c>
      <c r="D42">
        <v>110</v>
      </c>
      <c r="E42">
        <v>2</v>
      </c>
      <c r="F42">
        <v>1</v>
      </c>
      <c r="G42">
        <v>260</v>
      </c>
      <c r="H42">
        <v>0</v>
      </c>
      <c r="I42">
        <v>21</v>
      </c>
      <c r="J42">
        <v>3</v>
      </c>
      <c r="K42">
        <v>40</v>
      </c>
      <c r="L42">
        <v>25</v>
      </c>
      <c r="M42">
        <v>2</v>
      </c>
      <c r="N42">
        <v>1</v>
      </c>
      <c r="O42">
        <v>1.5</v>
      </c>
      <c r="P42">
        <v>39.241114000000003</v>
      </c>
      <c r="Q42" t="str">
        <f t="shared" si="0"/>
        <v>Unhealthy</v>
      </c>
      <c r="R42" t="str">
        <f t="shared" si="1"/>
        <v>Yes</v>
      </c>
      <c r="S42" t="str">
        <f t="shared" si="7"/>
        <v>Normal</v>
      </c>
      <c r="T42" t="str">
        <f t="shared" si="3"/>
        <v>Low Fiber</v>
      </c>
      <c r="U42" t="str">
        <f t="shared" si="4"/>
        <v>Normal</v>
      </c>
      <c r="V42" t="str">
        <f t="shared" si="5"/>
        <v>High Sodium</v>
      </c>
      <c r="W42" t="str">
        <f t="shared" si="6"/>
        <v>Low Fiber</v>
      </c>
    </row>
    <row r="43" spans="1:23" x14ac:dyDescent="0.25">
      <c r="A43" t="s">
        <v>41</v>
      </c>
      <c r="B43" t="s">
        <v>84</v>
      </c>
      <c r="C43" t="s">
        <v>86</v>
      </c>
      <c r="D43">
        <v>100</v>
      </c>
      <c r="E43">
        <v>4</v>
      </c>
      <c r="F43">
        <v>2</v>
      </c>
      <c r="G43">
        <v>150</v>
      </c>
      <c r="H43">
        <v>2</v>
      </c>
      <c r="I43">
        <v>12</v>
      </c>
      <c r="J43">
        <v>6</v>
      </c>
      <c r="K43">
        <v>95</v>
      </c>
      <c r="L43">
        <v>25</v>
      </c>
      <c r="M43">
        <v>2</v>
      </c>
      <c r="N43">
        <v>1</v>
      </c>
      <c r="O43">
        <v>0.67</v>
      </c>
      <c r="P43">
        <v>45.328074000000001</v>
      </c>
      <c r="Q43" t="str">
        <f t="shared" si="0"/>
        <v>Unhealthy</v>
      </c>
      <c r="R43" t="str">
        <f t="shared" si="1"/>
        <v>Yes</v>
      </c>
      <c r="S43" t="str">
        <f t="shared" si="7"/>
        <v>High sugar</v>
      </c>
      <c r="T43" t="str">
        <f t="shared" si="3"/>
        <v>Low Fiber</v>
      </c>
      <c r="U43" t="str">
        <f t="shared" si="4"/>
        <v>Normal</v>
      </c>
      <c r="V43" t="str">
        <f t="shared" si="5"/>
        <v>Normal</v>
      </c>
      <c r="W43" t="str">
        <f t="shared" si="6"/>
        <v>High Sugar</v>
      </c>
    </row>
    <row r="44" spans="1:23" x14ac:dyDescent="0.25">
      <c r="A44" t="s">
        <v>42</v>
      </c>
      <c r="B44" t="s">
        <v>80</v>
      </c>
      <c r="C44" t="s">
        <v>86</v>
      </c>
      <c r="D44">
        <v>110</v>
      </c>
      <c r="E44">
        <v>2</v>
      </c>
      <c r="F44">
        <v>1</v>
      </c>
      <c r="G44">
        <v>180</v>
      </c>
      <c r="H44">
        <v>0</v>
      </c>
      <c r="I44">
        <v>12</v>
      </c>
      <c r="J44">
        <v>12</v>
      </c>
      <c r="K44">
        <v>55</v>
      </c>
      <c r="L44">
        <v>25</v>
      </c>
      <c r="M44">
        <v>2</v>
      </c>
      <c r="N44">
        <v>1</v>
      </c>
      <c r="O44">
        <v>1</v>
      </c>
      <c r="P44">
        <v>26.734514999999998</v>
      </c>
      <c r="Q44" t="str">
        <f t="shared" si="0"/>
        <v>Unhealthy</v>
      </c>
      <c r="R44" t="str">
        <f t="shared" si="1"/>
        <v>Yes</v>
      </c>
      <c r="S44" t="str">
        <f t="shared" si="7"/>
        <v>High sugar</v>
      </c>
      <c r="T44" t="str">
        <f t="shared" si="3"/>
        <v>Low Fiber</v>
      </c>
      <c r="U44" t="str">
        <f t="shared" si="4"/>
        <v>Normal</v>
      </c>
      <c r="V44" t="str">
        <f t="shared" si="5"/>
        <v>Normal</v>
      </c>
      <c r="W44" t="str">
        <f t="shared" si="6"/>
        <v>High Sugar</v>
      </c>
    </row>
    <row r="45" spans="1:23" x14ac:dyDescent="0.25">
      <c r="A45" t="s">
        <v>43</v>
      </c>
      <c r="B45" t="s">
        <v>79</v>
      </c>
      <c r="C45" t="s">
        <v>87</v>
      </c>
      <c r="D45">
        <v>100</v>
      </c>
      <c r="E45">
        <v>4</v>
      </c>
      <c r="F45">
        <v>1</v>
      </c>
      <c r="G45">
        <v>0</v>
      </c>
      <c r="H45">
        <v>0</v>
      </c>
      <c r="I45">
        <v>16</v>
      </c>
      <c r="J45">
        <v>3</v>
      </c>
      <c r="K45">
        <v>95</v>
      </c>
      <c r="L45">
        <v>25</v>
      </c>
      <c r="M45">
        <v>2</v>
      </c>
      <c r="N45">
        <v>1</v>
      </c>
      <c r="O45">
        <v>1</v>
      </c>
      <c r="P45">
        <v>54.850917000000003</v>
      </c>
      <c r="Q45" t="str">
        <f t="shared" si="0"/>
        <v>Unhealthy</v>
      </c>
      <c r="R45" t="str">
        <f t="shared" si="1"/>
        <v>Yes</v>
      </c>
      <c r="S45" t="str">
        <f t="shared" si="7"/>
        <v>Normal</v>
      </c>
      <c r="T45" t="str">
        <f t="shared" si="3"/>
        <v>Low Fiber</v>
      </c>
      <c r="U45" t="str">
        <f t="shared" si="4"/>
        <v>Normal</v>
      </c>
      <c r="V45" t="str">
        <f t="shared" si="5"/>
        <v>Normal</v>
      </c>
      <c r="W45" t="str">
        <f t="shared" si="6"/>
        <v>Low Fiber</v>
      </c>
    </row>
    <row r="46" spans="1:23" x14ac:dyDescent="0.25">
      <c r="A46" t="s">
        <v>44</v>
      </c>
      <c r="B46" t="s">
        <v>85</v>
      </c>
      <c r="C46" t="s">
        <v>86</v>
      </c>
      <c r="D46">
        <v>150</v>
      </c>
      <c r="E46">
        <v>4</v>
      </c>
      <c r="F46">
        <v>3</v>
      </c>
      <c r="G46">
        <v>95</v>
      </c>
      <c r="H46">
        <v>3</v>
      </c>
      <c r="I46">
        <v>16</v>
      </c>
      <c r="J46">
        <v>11</v>
      </c>
      <c r="K46">
        <v>170</v>
      </c>
      <c r="L46">
        <v>25</v>
      </c>
      <c r="M46">
        <v>3</v>
      </c>
      <c r="N46">
        <v>1</v>
      </c>
      <c r="O46">
        <v>1</v>
      </c>
      <c r="P46">
        <v>37.136862999999998</v>
      </c>
      <c r="Q46" t="str">
        <f t="shared" si="0"/>
        <v>Unhealthy</v>
      </c>
      <c r="R46" t="str">
        <f t="shared" si="1"/>
        <v>Yes</v>
      </c>
      <c r="S46" t="str">
        <f t="shared" si="7"/>
        <v>High sugar</v>
      </c>
      <c r="T46" t="str">
        <f t="shared" si="3"/>
        <v>Low Fiber</v>
      </c>
      <c r="U46" t="str">
        <f t="shared" si="4"/>
        <v>High Calories</v>
      </c>
      <c r="V46" t="str">
        <f t="shared" si="5"/>
        <v>Normal</v>
      </c>
      <c r="W46" t="str">
        <f t="shared" si="6"/>
        <v>High Sugar</v>
      </c>
    </row>
    <row r="47" spans="1:23" x14ac:dyDescent="0.25">
      <c r="A47" t="s">
        <v>45</v>
      </c>
      <c r="B47" t="s">
        <v>85</v>
      </c>
      <c r="C47" t="s">
        <v>86</v>
      </c>
      <c r="D47">
        <v>150</v>
      </c>
      <c r="E47">
        <v>4</v>
      </c>
      <c r="F47">
        <v>3</v>
      </c>
      <c r="G47">
        <v>150</v>
      </c>
      <c r="H47">
        <v>3</v>
      </c>
      <c r="I47">
        <v>16</v>
      </c>
      <c r="J47">
        <v>11</v>
      </c>
      <c r="K47">
        <v>170</v>
      </c>
      <c r="L47">
        <v>25</v>
      </c>
      <c r="M47">
        <v>3</v>
      </c>
      <c r="N47">
        <v>1</v>
      </c>
      <c r="O47">
        <v>1</v>
      </c>
      <c r="P47">
        <v>34.139764999999997</v>
      </c>
      <c r="Q47" t="str">
        <f t="shared" si="0"/>
        <v>Unhealthy</v>
      </c>
      <c r="R47" t="str">
        <f t="shared" si="1"/>
        <v>Yes</v>
      </c>
      <c r="S47" t="str">
        <f t="shared" si="7"/>
        <v>High sugar</v>
      </c>
      <c r="T47" t="str">
        <f t="shared" si="3"/>
        <v>Low Fiber</v>
      </c>
      <c r="U47" t="str">
        <f t="shared" si="4"/>
        <v>High Calories</v>
      </c>
      <c r="V47" t="str">
        <f t="shared" si="5"/>
        <v>Normal</v>
      </c>
      <c r="W47" t="str">
        <f t="shared" si="6"/>
        <v>High Sugar</v>
      </c>
    </row>
    <row r="48" spans="1:23" x14ac:dyDescent="0.25">
      <c r="A48" t="s">
        <v>46</v>
      </c>
      <c r="B48" t="s">
        <v>81</v>
      </c>
      <c r="C48" t="s">
        <v>86</v>
      </c>
      <c r="D48">
        <v>160</v>
      </c>
      <c r="E48">
        <v>3</v>
      </c>
      <c r="F48">
        <v>2</v>
      </c>
      <c r="G48">
        <v>150</v>
      </c>
      <c r="H48">
        <v>3</v>
      </c>
      <c r="I48">
        <v>17</v>
      </c>
      <c r="J48">
        <v>13</v>
      </c>
      <c r="K48">
        <v>160</v>
      </c>
      <c r="L48">
        <v>25</v>
      </c>
      <c r="M48">
        <v>3</v>
      </c>
      <c r="N48">
        <v>1.5</v>
      </c>
      <c r="O48">
        <v>0.67</v>
      </c>
      <c r="P48">
        <v>30.313351000000001</v>
      </c>
      <c r="Q48" t="str">
        <f t="shared" si="0"/>
        <v>Unhealthy</v>
      </c>
      <c r="R48" t="str">
        <f t="shared" si="1"/>
        <v>Yes</v>
      </c>
      <c r="S48" t="str">
        <f t="shared" si="7"/>
        <v>High sugar</v>
      </c>
      <c r="T48" t="str">
        <f t="shared" si="3"/>
        <v>Low Fiber</v>
      </c>
      <c r="U48" t="str">
        <f t="shared" si="4"/>
        <v>High Calories</v>
      </c>
      <c r="V48" t="str">
        <f t="shared" si="5"/>
        <v>Normal</v>
      </c>
      <c r="W48" t="str">
        <f t="shared" si="6"/>
        <v>High Sugar</v>
      </c>
    </row>
    <row r="49" spans="1:23" x14ac:dyDescent="0.25">
      <c r="A49" t="s">
        <v>47</v>
      </c>
      <c r="B49" t="s">
        <v>80</v>
      </c>
      <c r="C49" t="s">
        <v>86</v>
      </c>
      <c r="D49">
        <v>100</v>
      </c>
      <c r="E49">
        <v>2</v>
      </c>
      <c r="F49">
        <v>1</v>
      </c>
      <c r="G49">
        <v>220</v>
      </c>
      <c r="H49">
        <v>2</v>
      </c>
      <c r="I49">
        <v>15</v>
      </c>
      <c r="J49">
        <v>6</v>
      </c>
      <c r="K49">
        <v>90</v>
      </c>
      <c r="L49">
        <v>25</v>
      </c>
      <c r="M49">
        <v>1</v>
      </c>
      <c r="N49">
        <v>1</v>
      </c>
      <c r="O49">
        <v>1</v>
      </c>
      <c r="P49">
        <v>40.105964999999998</v>
      </c>
      <c r="Q49" t="str">
        <f t="shared" si="0"/>
        <v>Unhealthy</v>
      </c>
      <c r="R49" t="str">
        <f t="shared" si="1"/>
        <v>Yes</v>
      </c>
      <c r="S49" t="str">
        <f t="shared" si="7"/>
        <v>High sugar</v>
      </c>
      <c r="T49" t="str">
        <f t="shared" si="3"/>
        <v>Low Fiber</v>
      </c>
      <c r="U49" t="str">
        <f t="shared" si="4"/>
        <v>Normal</v>
      </c>
      <c r="V49" t="str">
        <f t="shared" si="5"/>
        <v>High Sodium</v>
      </c>
      <c r="W49" t="str">
        <f t="shared" si="6"/>
        <v>High Sugar</v>
      </c>
    </row>
    <row r="50" spans="1:23" x14ac:dyDescent="0.25">
      <c r="A50" t="s">
        <v>48</v>
      </c>
      <c r="B50" t="s">
        <v>81</v>
      </c>
      <c r="C50" t="s">
        <v>86</v>
      </c>
      <c r="D50">
        <v>120</v>
      </c>
      <c r="E50">
        <v>2</v>
      </c>
      <c r="F50">
        <v>1</v>
      </c>
      <c r="G50">
        <v>190</v>
      </c>
      <c r="H50">
        <v>0</v>
      </c>
      <c r="I50">
        <v>15</v>
      </c>
      <c r="J50">
        <v>9</v>
      </c>
      <c r="K50">
        <v>40</v>
      </c>
      <c r="L50">
        <v>25</v>
      </c>
      <c r="M50">
        <v>2</v>
      </c>
      <c r="N50">
        <v>1</v>
      </c>
      <c r="O50">
        <v>0.67</v>
      </c>
      <c r="P50">
        <v>29.924285000000001</v>
      </c>
      <c r="Q50" t="str">
        <f t="shared" si="0"/>
        <v>Unhealthy</v>
      </c>
      <c r="R50" t="str">
        <f t="shared" si="1"/>
        <v>Yes</v>
      </c>
      <c r="S50" t="str">
        <f t="shared" si="7"/>
        <v>High sugar</v>
      </c>
      <c r="T50" t="str">
        <f t="shared" si="3"/>
        <v>Low Fiber</v>
      </c>
      <c r="U50" t="str">
        <f t="shared" si="4"/>
        <v>High Calories</v>
      </c>
      <c r="V50" t="str">
        <f t="shared" si="5"/>
        <v>Normal</v>
      </c>
      <c r="W50" t="str">
        <f t="shared" si="6"/>
        <v>High Sugar</v>
      </c>
    </row>
    <row r="51" spans="1:23" x14ac:dyDescent="0.25">
      <c r="A51" t="s">
        <v>49</v>
      </c>
      <c r="B51" t="s">
        <v>81</v>
      </c>
      <c r="C51" t="s">
        <v>86</v>
      </c>
      <c r="D51">
        <v>140</v>
      </c>
      <c r="E51">
        <v>3</v>
      </c>
      <c r="F51">
        <v>2</v>
      </c>
      <c r="G51">
        <v>220</v>
      </c>
      <c r="H51">
        <v>3</v>
      </c>
      <c r="I51">
        <v>21</v>
      </c>
      <c r="J51">
        <v>7</v>
      </c>
      <c r="K51">
        <v>130</v>
      </c>
      <c r="L51">
        <v>25</v>
      </c>
      <c r="M51">
        <v>3</v>
      </c>
      <c r="N51">
        <v>1.33</v>
      </c>
      <c r="O51">
        <v>0.67</v>
      </c>
      <c r="P51">
        <v>40.692320000000002</v>
      </c>
      <c r="Q51" t="str">
        <f t="shared" si="0"/>
        <v>Unhealthy</v>
      </c>
      <c r="R51" t="str">
        <f t="shared" si="1"/>
        <v>Yes</v>
      </c>
      <c r="S51" t="str">
        <f t="shared" si="7"/>
        <v>High sugar</v>
      </c>
      <c r="T51" t="str">
        <f t="shared" si="3"/>
        <v>Low Fiber</v>
      </c>
      <c r="U51" t="str">
        <f t="shared" si="4"/>
        <v>High Calories</v>
      </c>
      <c r="V51" t="str">
        <f t="shared" si="5"/>
        <v>High Sodium</v>
      </c>
      <c r="W51" t="str">
        <f t="shared" si="6"/>
        <v>High Sugar</v>
      </c>
    </row>
    <row r="52" spans="1:23" x14ac:dyDescent="0.25">
      <c r="A52" t="s">
        <v>50</v>
      </c>
      <c r="B52" t="s">
        <v>81</v>
      </c>
      <c r="C52" t="s">
        <v>86</v>
      </c>
      <c r="D52">
        <v>90</v>
      </c>
      <c r="E52">
        <v>3</v>
      </c>
      <c r="F52">
        <v>0</v>
      </c>
      <c r="G52">
        <v>170</v>
      </c>
      <c r="H52">
        <v>3</v>
      </c>
      <c r="I52">
        <v>18</v>
      </c>
      <c r="J52">
        <v>2</v>
      </c>
      <c r="K52">
        <v>90</v>
      </c>
      <c r="L52">
        <v>25</v>
      </c>
      <c r="M52">
        <v>3</v>
      </c>
      <c r="N52">
        <v>1</v>
      </c>
      <c r="O52">
        <v>1</v>
      </c>
      <c r="P52">
        <v>59.642837</v>
      </c>
      <c r="Q52" t="str">
        <f t="shared" si="0"/>
        <v>Healthy</v>
      </c>
      <c r="R52" t="str">
        <f t="shared" si="1"/>
        <v>No</v>
      </c>
      <c r="S52" t="str">
        <f t="shared" si="7"/>
        <v>Normal</v>
      </c>
      <c r="T52" t="str">
        <f t="shared" si="3"/>
        <v>Low Fiber</v>
      </c>
      <c r="U52" t="str">
        <f t="shared" si="4"/>
        <v>Normal</v>
      </c>
      <c r="V52" t="str">
        <f t="shared" si="5"/>
        <v>Normal</v>
      </c>
      <c r="W52" t="str">
        <f t="shared" si="6"/>
        <v>Low Fiber</v>
      </c>
    </row>
    <row r="53" spans="1:23" x14ac:dyDescent="0.25">
      <c r="A53" t="s">
        <v>51</v>
      </c>
      <c r="B53" t="s">
        <v>80</v>
      </c>
      <c r="C53" t="s">
        <v>86</v>
      </c>
      <c r="D53">
        <v>130</v>
      </c>
      <c r="E53">
        <v>3</v>
      </c>
      <c r="F53">
        <v>2</v>
      </c>
      <c r="G53">
        <v>170</v>
      </c>
      <c r="H53">
        <v>1.5</v>
      </c>
      <c r="I53">
        <v>13.5</v>
      </c>
      <c r="J53">
        <v>10</v>
      </c>
      <c r="K53">
        <v>120</v>
      </c>
      <c r="L53">
        <v>25</v>
      </c>
      <c r="M53">
        <v>3</v>
      </c>
      <c r="N53">
        <v>1.25</v>
      </c>
      <c r="O53">
        <v>0.5</v>
      </c>
      <c r="P53">
        <v>30.450842999999999</v>
      </c>
      <c r="Q53" t="str">
        <f t="shared" si="0"/>
        <v>Unhealthy</v>
      </c>
      <c r="R53" t="str">
        <f t="shared" si="1"/>
        <v>Yes</v>
      </c>
      <c r="S53" t="str">
        <f t="shared" si="7"/>
        <v>High sugar</v>
      </c>
      <c r="T53" t="str">
        <f t="shared" si="3"/>
        <v>Low Fiber</v>
      </c>
      <c r="U53" t="str">
        <f t="shared" si="4"/>
        <v>High Calories</v>
      </c>
      <c r="V53" t="str">
        <f t="shared" si="5"/>
        <v>Normal</v>
      </c>
      <c r="W53" t="str">
        <f t="shared" si="6"/>
        <v>High Sugar</v>
      </c>
    </row>
    <row r="54" spans="1:23" x14ac:dyDescent="0.25">
      <c r="A54" t="s">
        <v>52</v>
      </c>
      <c r="B54" t="s">
        <v>83</v>
      </c>
      <c r="C54" t="s">
        <v>86</v>
      </c>
      <c r="D54">
        <v>120</v>
      </c>
      <c r="E54">
        <v>3</v>
      </c>
      <c r="F54">
        <v>1</v>
      </c>
      <c r="G54">
        <v>200</v>
      </c>
      <c r="H54">
        <v>6</v>
      </c>
      <c r="I54">
        <v>11</v>
      </c>
      <c r="J54">
        <v>14</v>
      </c>
      <c r="K54">
        <v>260</v>
      </c>
      <c r="L54">
        <v>25</v>
      </c>
      <c r="M54">
        <v>3</v>
      </c>
      <c r="N54">
        <v>1.33</v>
      </c>
      <c r="O54">
        <v>0.67</v>
      </c>
      <c r="P54">
        <v>37.840594000000003</v>
      </c>
      <c r="Q54" t="str">
        <f t="shared" si="0"/>
        <v>Unhealthy</v>
      </c>
      <c r="R54" t="str">
        <f t="shared" si="1"/>
        <v>Yes</v>
      </c>
      <c r="S54" t="str">
        <f t="shared" si="7"/>
        <v>High sugar</v>
      </c>
      <c r="T54" t="str">
        <f t="shared" si="3"/>
        <v>Normal</v>
      </c>
      <c r="U54" t="str">
        <f t="shared" si="4"/>
        <v>High Calories</v>
      </c>
      <c r="V54" t="str">
        <f t="shared" si="5"/>
        <v>High Sodium</v>
      </c>
      <c r="W54" t="str">
        <f t="shared" si="6"/>
        <v>High Sugar</v>
      </c>
    </row>
    <row r="55" spans="1:23" x14ac:dyDescent="0.25">
      <c r="A55" t="s">
        <v>53</v>
      </c>
      <c r="B55" t="s">
        <v>81</v>
      </c>
      <c r="C55" t="s">
        <v>86</v>
      </c>
      <c r="D55">
        <v>100</v>
      </c>
      <c r="E55">
        <v>3</v>
      </c>
      <c r="F55">
        <v>0</v>
      </c>
      <c r="G55">
        <v>320</v>
      </c>
      <c r="H55">
        <v>1</v>
      </c>
      <c r="I55">
        <v>20</v>
      </c>
      <c r="J55">
        <v>3</v>
      </c>
      <c r="K55">
        <v>45</v>
      </c>
      <c r="L55">
        <v>100</v>
      </c>
      <c r="M55">
        <v>3</v>
      </c>
      <c r="N55">
        <v>1</v>
      </c>
      <c r="O55">
        <v>1</v>
      </c>
      <c r="P55">
        <v>41.503540000000001</v>
      </c>
      <c r="Q55" t="str">
        <f t="shared" si="0"/>
        <v>Unhealthy</v>
      </c>
      <c r="R55" t="str">
        <f t="shared" si="1"/>
        <v>Yes</v>
      </c>
      <c r="S55" t="str">
        <f t="shared" si="7"/>
        <v>Normal</v>
      </c>
      <c r="T55" t="str">
        <f t="shared" si="3"/>
        <v>Low Fiber</v>
      </c>
      <c r="U55" t="str">
        <f t="shared" si="4"/>
        <v>Normal</v>
      </c>
      <c r="V55" t="str">
        <f t="shared" si="5"/>
        <v>High Sodium</v>
      </c>
      <c r="W55" t="str">
        <f t="shared" si="6"/>
        <v>Low Fiber</v>
      </c>
    </row>
    <row r="56" spans="1:23" x14ac:dyDescent="0.25">
      <c r="A56" t="s">
        <v>54</v>
      </c>
      <c r="B56" t="s">
        <v>84</v>
      </c>
      <c r="C56" t="s">
        <v>86</v>
      </c>
      <c r="D56">
        <v>50</v>
      </c>
      <c r="E56">
        <v>1</v>
      </c>
      <c r="F56">
        <v>0</v>
      </c>
      <c r="G56">
        <v>0</v>
      </c>
      <c r="H56">
        <v>0</v>
      </c>
      <c r="I56">
        <v>13</v>
      </c>
      <c r="J56">
        <v>0</v>
      </c>
      <c r="K56">
        <v>15</v>
      </c>
      <c r="L56">
        <v>0</v>
      </c>
      <c r="M56">
        <v>3</v>
      </c>
      <c r="N56">
        <v>0.5</v>
      </c>
      <c r="O56">
        <v>1</v>
      </c>
      <c r="P56">
        <v>60.756112000000002</v>
      </c>
      <c r="Q56" t="str">
        <f t="shared" si="0"/>
        <v>Unhealthy</v>
      </c>
      <c r="R56" t="str">
        <f t="shared" si="1"/>
        <v>Yes</v>
      </c>
      <c r="S56" t="str">
        <f t="shared" si="7"/>
        <v>Normal</v>
      </c>
      <c r="T56" t="str">
        <f t="shared" si="3"/>
        <v>Low Fiber</v>
      </c>
      <c r="U56" t="str">
        <f t="shared" si="4"/>
        <v>Normal</v>
      </c>
      <c r="V56" t="str">
        <f t="shared" si="5"/>
        <v>Normal</v>
      </c>
      <c r="W56" t="str">
        <f t="shared" si="6"/>
        <v>Low Fiber</v>
      </c>
    </row>
    <row r="57" spans="1:23" x14ac:dyDescent="0.25">
      <c r="A57" t="s">
        <v>55</v>
      </c>
      <c r="B57" t="s">
        <v>84</v>
      </c>
      <c r="C57" t="s">
        <v>86</v>
      </c>
      <c r="D57">
        <v>50</v>
      </c>
      <c r="E57">
        <v>2</v>
      </c>
      <c r="F57">
        <v>0</v>
      </c>
      <c r="G57">
        <v>0</v>
      </c>
      <c r="H57">
        <v>1</v>
      </c>
      <c r="I57">
        <v>10</v>
      </c>
      <c r="J57">
        <v>0</v>
      </c>
      <c r="K57">
        <v>50</v>
      </c>
      <c r="L57">
        <v>0</v>
      </c>
      <c r="M57">
        <v>3</v>
      </c>
      <c r="N57">
        <v>0.5</v>
      </c>
      <c r="O57">
        <v>1</v>
      </c>
      <c r="P57">
        <v>63.005645000000001</v>
      </c>
      <c r="Q57" t="str">
        <f t="shared" si="0"/>
        <v>Unhealthy</v>
      </c>
      <c r="R57" t="str">
        <f t="shared" si="1"/>
        <v>Yes</v>
      </c>
      <c r="S57" t="str">
        <f t="shared" si="7"/>
        <v>Normal</v>
      </c>
      <c r="T57" t="str">
        <f t="shared" si="3"/>
        <v>Low Fiber</v>
      </c>
      <c r="U57" t="str">
        <f t="shared" si="4"/>
        <v>Normal</v>
      </c>
      <c r="V57" t="str">
        <f t="shared" si="5"/>
        <v>Normal</v>
      </c>
      <c r="W57" t="str">
        <f t="shared" si="6"/>
        <v>Low Fiber</v>
      </c>
    </row>
    <row r="58" spans="1:23" x14ac:dyDescent="0.25">
      <c r="A58" t="s">
        <v>56</v>
      </c>
      <c r="B58" t="s">
        <v>84</v>
      </c>
      <c r="C58" t="s">
        <v>86</v>
      </c>
      <c r="D58">
        <v>100</v>
      </c>
      <c r="E58">
        <v>4</v>
      </c>
      <c r="F58">
        <v>1</v>
      </c>
      <c r="G58">
        <v>135</v>
      </c>
      <c r="H58">
        <v>2</v>
      </c>
      <c r="I58">
        <v>14</v>
      </c>
      <c r="J58">
        <v>6</v>
      </c>
      <c r="K58">
        <v>110</v>
      </c>
      <c r="L58">
        <v>25</v>
      </c>
      <c r="M58">
        <v>3</v>
      </c>
      <c r="N58">
        <v>1</v>
      </c>
      <c r="O58">
        <v>0.5</v>
      </c>
      <c r="P58">
        <v>49.511873999999999</v>
      </c>
      <c r="Q58" t="str">
        <f t="shared" si="0"/>
        <v>Unhealthy</v>
      </c>
      <c r="R58" t="str">
        <f t="shared" si="1"/>
        <v>Yes</v>
      </c>
      <c r="S58" t="str">
        <f t="shared" si="7"/>
        <v>High sugar</v>
      </c>
      <c r="T58" t="str">
        <f t="shared" si="3"/>
        <v>Low Fiber</v>
      </c>
      <c r="U58" t="str">
        <f t="shared" si="4"/>
        <v>Normal</v>
      </c>
      <c r="V58" t="str">
        <f t="shared" si="5"/>
        <v>Normal</v>
      </c>
      <c r="W58" t="str">
        <f t="shared" si="6"/>
        <v>High Sugar</v>
      </c>
    </row>
    <row r="59" spans="1:23" x14ac:dyDescent="0.25">
      <c r="A59" t="s">
        <v>57</v>
      </c>
      <c r="B59" t="s">
        <v>84</v>
      </c>
      <c r="C59" t="s">
        <v>87</v>
      </c>
      <c r="D59">
        <v>100</v>
      </c>
      <c r="E59">
        <v>5</v>
      </c>
      <c r="F59">
        <v>2</v>
      </c>
      <c r="G59">
        <v>0</v>
      </c>
      <c r="H59">
        <v>2.7</v>
      </c>
      <c r="I59">
        <v>-1</v>
      </c>
      <c r="J59">
        <v>-1</v>
      </c>
      <c r="K59">
        <v>110</v>
      </c>
      <c r="L59">
        <v>0</v>
      </c>
      <c r="M59">
        <v>1</v>
      </c>
      <c r="N59">
        <v>1</v>
      </c>
      <c r="O59">
        <v>0.67</v>
      </c>
      <c r="P59">
        <v>50.828392000000001</v>
      </c>
      <c r="Q59" t="str">
        <f t="shared" si="0"/>
        <v>Unhealthy</v>
      </c>
      <c r="R59" t="str">
        <f t="shared" si="1"/>
        <v>Yes</v>
      </c>
      <c r="S59" t="str">
        <f t="shared" si="7"/>
        <v>Normal</v>
      </c>
      <c r="T59" t="str">
        <f t="shared" si="3"/>
        <v>Low Fiber</v>
      </c>
      <c r="U59" t="str">
        <f t="shared" si="4"/>
        <v>Normal</v>
      </c>
      <c r="V59" t="str">
        <f t="shared" si="5"/>
        <v>Normal</v>
      </c>
      <c r="W59" t="str">
        <f t="shared" si="6"/>
        <v>Low Fiber</v>
      </c>
    </row>
    <row r="60" spans="1:23" x14ac:dyDescent="0.25">
      <c r="A60" t="s">
        <v>58</v>
      </c>
      <c r="B60" t="s">
        <v>81</v>
      </c>
      <c r="C60" t="s">
        <v>86</v>
      </c>
      <c r="D60">
        <v>120</v>
      </c>
      <c r="E60">
        <v>3</v>
      </c>
      <c r="F60">
        <v>1</v>
      </c>
      <c r="G60">
        <v>210</v>
      </c>
      <c r="H60">
        <v>5</v>
      </c>
      <c r="I60">
        <v>14</v>
      </c>
      <c r="J60">
        <v>12</v>
      </c>
      <c r="K60">
        <v>240</v>
      </c>
      <c r="L60">
        <v>25</v>
      </c>
      <c r="M60">
        <v>2</v>
      </c>
      <c r="N60">
        <v>1.33</v>
      </c>
      <c r="O60">
        <v>0.75</v>
      </c>
      <c r="P60">
        <v>39.259197</v>
      </c>
      <c r="Q60" t="str">
        <f t="shared" si="0"/>
        <v>Unhealthy</v>
      </c>
      <c r="R60" t="str">
        <f t="shared" si="1"/>
        <v>Yes</v>
      </c>
      <c r="S60" t="str">
        <f t="shared" si="7"/>
        <v>High sugar</v>
      </c>
      <c r="T60" t="str">
        <f t="shared" si="3"/>
        <v>Normal</v>
      </c>
      <c r="U60" t="str">
        <f t="shared" si="4"/>
        <v>High Calories</v>
      </c>
      <c r="V60" t="str">
        <f t="shared" si="5"/>
        <v>High Sodium</v>
      </c>
      <c r="W60" t="str">
        <f t="shared" si="6"/>
        <v>High Sugar</v>
      </c>
    </row>
    <row r="61" spans="1:23" x14ac:dyDescent="0.25">
      <c r="A61" t="s">
        <v>59</v>
      </c>
      <c r="B61" t="s">
        <v>80</v>
      </c>
      <c r="C61" t="s">
        <v>86</v>
      </c>
      <c r="D61">
        <v>100</v>
      </c>
      <c r="E61">
        <v>3</v>
      </c>
      <c r="F61">
        <v>2</v>
      </c>
      <c r="G61">
        <v>140</v>
      </c>
      <c r="H61">
        <v>2.5</v>
      </c>
      <c r="I61">
        <v>10.5</v>
      </c>
      <c r="J61">
        <v>8</v>
      </c>
      <c r="K61">
        <v>140</v>
      </c>
      <c r="L61">
        <v>25</v>
      </c>
      <c r="M61">
        <v>3</v>
      </c>
      <c r="N61">
        <v>1</v>
      </c>
      <c r="O61">
        <v>0.5</v>
      </c>
      <c r="P61">
        <v>39.703400000000002</v>
      </c>
      <c r="Q61" t="str">
        <f t="shared" si="0"/>
        <v>Unhealthy</v>
      </c>
      <c r="R61" t="str">
        <f t="shared" si="1"/>
        <v>Yes</v>
      </c>
      <c r="S61" t="str">
        <f t="shared" si="7"/>
        <v>High sugar</v>
      </c>
      <c r="T61" t="str">
        <f t="shared" si="3"/>
        <v>Low Fiber</v>
      </c>
      <c r="U61" t="str">
        <f t="shared" si="4"/>
        <v>Normal</v>
      </c>
      <c r="V61" t="str">
        <f t="shared" si="5"/>
        <v>Normal</v>
      </c>
      <c r="W61" t="str">
        <f t="shared" si="6"/>
        <v>High Sugar</v>
      </c>
    </row>
    <row r="62" spans="1:23" x14ac:dyDescent="0.25">
      <c r="A62" t="s">
        <v>60</v>
      </c>
      <c r="B62" t="s">
        <v>81</v>
      </c>
      <c r="C62" t="s">
        <v>86</v>
      </c>
      <c r="D62">
        <v>90</v>
      </c>
      <c r="E62">
        <v>2</v>
      </c>
      <c r="F62">
        <v>0</v>
      </c>
      <c r="G62">
        <v>0</v>
      </c>
      <c r="H62">
        <v>2</v>
      </c>
      <c r="I62">
        <v>15</v>
      </c>
      <c r="J62">
        <v>6</v>
      </c>
      <c r="K62">
        <v>110</v>
      </c>
      <c r="L62">
        <v>25</v>
      </c>
      <c r="M62">
        <v>3</v>
      </c>
      <c r="N62">
        <v>1</v>
      </c>
      <c r="O62">
        <v>0.5</v>
      </c>
      <c r="P62">
        <v>55.333142000000002</v>
      </c>
      <c r="Q62" t="str">
        <f t="shared" si="0"/>
        <v>Unhealthy</v>
      </c>
      <c r="R62" t="str">
        <f t="shared" si="1"/>
        <v>Yes</v>
      </c>
      <c r="S62" t="str">
        <f t="shared" si="7"/>
        <v>High sugar</v>
      </c>
      <c r="T62" t="str">
        <f t="shared" si="3"/>
        <v>Low Fiber</v>
      </c>
      <c r="U62" t="str">
        <f t="shared" si="4"/>
        <v>Normal</v>
      </c>
      <c r="V62" t="str">
        <f t="shared" si="5"/>
        <v>Normal</v>
      </c>
      <c r="W62" t="str">
        <f t="shared" si="6"/>
        <v>High Sugar</v>
      </c>
    </row>
    <row r="63" spans="1:23" x14ac:dyDescent="0.25">
      <c r="A63" t="s">
        <v>61</v>
      </c>
      <c r="B63" t="s">
        <v>85</v>
      </c>
      <c r="C63" t="s">
        <v>86</v>
      </c>
      <c r="D63">
        <v>110</v>
      </c>
      <c r="E63">
        <v>1</v>
      </c>
      <c r="F63">
        <v>0</v>
      </c>
      <c r="G63">
        <v>240</v>
      </c>
      <c r="H63">
        <v>0</v>
      </c>
      <c r="I63">
        <v>23</v>
      </c>
      <c r="J63">
        <v>2</v>
      </c>
      <c r="K63">
        <v>30</v>
      </c>
      <c r="L63">
        <v>25</v>
      </c>
      <c r="M63">
        <v>1</v>
      </c>
      <c r="N63">
        <v>1</v>
      </c>
      <c r="O63">
        <v>1.1299999999999999</v>
      </c>
      <c r="P63">
        <v>41.998933000000001</v>
      </c>
      <c r="Q63" t="str">
        <f t="shared" si="0"/>
        <v>Unhealthy</v>
      </c>
      <c r="R63" t="str">
        <f t="shared" si="1"/>
        <v>Yes</v>
      </c>
      <c r="S63" t="str">
        <f t="shared" si="7"/>
        <v>Normal</v>
      </c>
      <c r="T63" t="str">
        <f t="shared" si="3"/>
        <v>Low Fiber</v>
      </c>
      <c r="U63" t="str">
        <f t="shared" si="4"/>
        <v>Normal</v>
      </c>
      <c r="V63" t="str">
        <f t="shared" si="5"/>
        <v>High Sodium</v>
      </c>
      <c r="W63" t="str">
        <f t="shared" si="6"/>
        <v>Low Fiber</v>
      </c>
    </row>
    <row r="64" spans="1:23" x14ac:dyDescent="0.25">
      <c r="A64" t="s">
        <v>62</v>
      </c>
      <c r="B64" t="s">
        <v>81</v>
      </c>
      <c r="C64" t="s">
        <v>86</v>
      </c>
      <c r="D64">
        <v>110</v>
      </c>
      <c r="E64">
        <v>2</v>
      </c>
      <c r="F64">
        <v>0</v>
      </c>
      <c r="G64">
        <v>290</v>
      </c>
      <c r="H64">
        <v>0</v>
      </c>
      <c r="I64">
        <v>22</v>
      </c>
      <c r="J64">
        <v>3</v>
      </c>
      <c r="K64">
        <v>35</v>
      </c>
      <c r="L64">
        <v>25</v>
      </c>
      <c r="M64">
        <v>1</v>
      </c>
      <c r="N64">
        <v>1</v>
      </c>
      <c r="O64">
        <v>1</v>
      </c>
      <c r="P64">
        <v>40.560158999999999</v>
      </c>
      <c r="Q64" t="str">
        <f t="shared" si="0"/>
        <v>Unhealthy</v>
      </c>
      <c r="R64" t="str">
        <f t="shared" si="1"/>
        <v>Yes</v>
      </c>
      <c r="S64" t="str">
        <f t="shared" si="7"/>
        <v>Normal</v>
      </c>
      <c r="T64" t="str">
        <f t="shared" si="3"/>
        <v>Low Fiber</v>
      </c>
      <c r="U64" t="str">
        <f t="shared" si="4"/>
        <v>Normal</v>
      </c>
      <c r="V64" t="str">
        <f t="shared" si="5"/>
        <v>High Sodium</v>
      </c>
      <c r="W64" t="str">
        <f t="shared" si="6"/>
        <v>Low Fiber</v>
      </c>
    </row>
    <row r="65" spans="1:23" x14ac:dyDescent="0.25">
      <c r="A65" t="s">
        <v>63</v>
      </c>
      <c r="B65" t="s">
        <v>82</v>
      </c>
      <c r="C65" t="s">
        <v>86</v>
      </c>
      <c r="D65">
        <v>80</v>
      </c>
      <c r="E65">
        <v>2</v>
      </c>
      <c r="F65">
        <v>0</v>
      </c>
      <c r="G65">
        <v>0</v>
      </c>
      <c r="H65">
        <v>3</v>
      </c>
      <c r="I65">
        <v>16</v>
      </c>
      <c r="J65">
        <v>0</v>
      </c>
      <c r="K65">
        <v>95</v>
      </c>
      <c r="L65">
        <v>0</v>
      </c>
      <c r="M65">
        <v>1</v>
      </c>
      <c r="N65">
        <v>0.83</v>
      </c>
      <c r="O65">
        <v>1</v>
      </c>
      <c r="P65">
        <v>68.235884999999996</v>
      </c>
      <c r="Q65" t="str">
        <f t="shared" si="0"/>
        <v>Healthy</v>
      </c>
      <c r="R65" t="str">
        <f t="shared" si="1"/>
        <v>No</v>
      </c>
      <c r="S65" t="str">
        <f t="shared" si="7"/>
        <v>Normal</v>
      </c>
      <c r="T65" t="str">
        <f t="shared" si="3"/>
        <v>Low Fiber</v>
      </c>
      <c r="U65" t="str">
        <f t="shared" si="4"/>
        <v>Normal</v>
      </c>
      <c r="V65" t="str">
        <f t="shared" si="5"/>
        <v>Normal</v>
      </c>
      <c r="W65" t="str">
        <f t="shared" si="6"/>
        <v>Low Fiber</v>
      </c>
    </row>
    <row r="66" spans="1:23" x14ac:dyDescent="0.25">
      <c r="A66" t="s">
        <v>64</v>
      </c>
      <c r="B66" t="s">
        <v>82</v>
      </c>
      <c r="C66" t="s">
        <v>86</v>
      </c>
      <c r="D66">
        <v>90</v>
      </c>
      <c r="E66">
        <v>3</v>
      </c>
      <c r="F66">
        <v>0</v>
      </c>
      <c r="G66">
        <v>0</v>
      </c>
      <c r="H66">
        <v>4</v>
      </c>
      <c r="I66">
        <v>19</v>
      </c>
      <c r="J66">
        <v>0</v>
      </c>
      <c r="K66">
        <v>140</v>
      </c>
      <c r="L66">
        <v>0</v>
      </c>
      <c r="M66">
        <v>1</v>
      </c>
      <c r="N66">
        <v>1</v>
      </c>
      <c r="O66">
        <v>0.67</v>
      </c>
      <c r="P66">
        <v>74.472949</v>
      </c>
      <c r="Q66" t="str">
        <f t="shared" si="0"/>
        <v>Healthy</v>
      </c>
      <c r="R66" t="str">
        <f t="shared" si="1"/>
        <v>No</v>
      </c>
      <c r="S66" t="str">
        <f t="shared" si="7"/>
        <v>Normal</v>
      </c>
      <c r="T66" t="str">
        <f t="shared" si="3"/>
        <v>Normal</v>
      </c>
      <c r="U66" t="str">
        <f t="shared" si="4"/>
        <v>Normal</v>
      </c>
      <c r="V66" t="str">
        <f t="shared" si="5"/>
        <v>Normal</v>
      </c>
      <c r="W66" t="str">
        <f t="shared" si="6"/>
        <v>Healthy</v>
      </c>
    </row>
    <row r="67" spans="1:23" x14ac:dyDescent="0.25">
      <c r="A67" t="s">
        <v>65</v>
      </c>
      <c r="B67" t="s">
        <v>82</v>
      </c>
      <c r="C67" t="s">
        <v>86</v>
      </c>
      <c r="D67">
        <v>90</v>
      </c>
      <c r="E67">
        <v>3</v>
      </c>
      <c r="F67">
        <v>0</v>
      </c>
      <c r="G67">
        <v>0</v>
      </c>
      <c r="H67">
        <v>3</v>
      </c>
      <c r="I67">
        <v>20</v>
      </c>
      <c r="J67">
        <v>0</v>
      </c>
      <c r="K67">
        <v>120</v>
      </c>
      <c r="L67">
        <v>0</v>
      </c>
      <c r="M67">
        <v>1</v>
      </c>
      <c r="N67">
        <v>1</v>
      </c>
      <c r="O67">
        <v>0.67</v>
      </c>
      <c r="P67">
        <v>72.801787000000004</v>
      </c>
      <c r="Q67" t="str">
        <f t="shared" ref="Q67:Q78" si="8">IF(AND($J$2:$J$78&lt;=5,$H$2:$H$78&gt;=3,$D$2:$D$78&lt;=120,$G$2:$G$78&lt;=200),"Healthy","Unhealthy")</f>
        <v>Healthy</v>
      </c>
      <c r="R67" t="str">
        <f t="shared" ref="R67:R78" si="9">IF(OR($Q$2:$Q$78="Unhealthy",$P$2:$P$78&lt;AVERAGE($P$2:$P$78)),"Yes","No")</f>
        <v>No</v>
      </c>
      <c r="S67" t="str">
        <f t="shared" si="7"/>
        <v>Normal</v>
      </c>
      <c r="T67" t="str">
        <f t="shared" ref="T67:T78" si="10">IF($H$2:$H$78&lt;=3,"Low Fiber","Normal")</f>
        <v>Low Fiber</v>
      </c>
      <c r="U67" t="str">
        <f t="shared" ref="U67:U78" si="11">IF($D$2:$D$78&gt;=120,"High Calories","Normal")</f>
        <v>Normal</v>
      </c>
      <c r="V67" t="str">
        <f t="shared" ref="V67:V78" si="12">IF($G$2:$G$78&gt;=200,"High Sodium","Normal")</f>
        <v>Normal</v>
      </c>
      <c r="W67" t="str">
        <f t="shared" ref="W67:W78" si="13">IF(S67:S443="High Sugar","High Sugar",IF(T67:T143="Low Fiber","Low Fiber",IF(U67:U143="High Calories","High Calories",IF(V67:V143="High Sodium","High Sodium","Healthy"))))</f>
        <v>Low Fiber</v>
      </c>
    </row>
    <row r="68" spans="1:23" x14ac:dyDescent="0.25">
      <c r="A68" t="s">
        <v>66</v>
      </c>
      <c r="B68" t="s">
        <v>81</v>
      </c>
      <c r="C68" t="s">
        <v>86</v>
      </c>
      <c r="D68">
        <v>110</v>
      </c>
      <c r="E68">
        <v>2</v>
      </c>
      <c r="F68">
        <v>1</v>
      </c>
      <c r="G68">
        <v>70</v>
      </c>
      <c r="H68">
        <v>1</v>
      </c>
      <c r="I68">
        <v>9</v>
      </c>
      <c r="J68">
        <v>15</v>
      </c>
      <c r="K68">
        <v>40</v>
      </c>
      <c r="L68">
        <v>25</v>
      </c>
      <c r="M68">
        <v>2</v>
      </c>
      <c r="N68">
        <v>1</v>
      </c>
      <c r="O68">
        <v>0.75</v>
      </c>
      <c r="P68">
        <v>31.230053999999999</v>
      </c>
      <c r="Q68" t="str">
        <f t="shared" si="8"/>
        <v>Unhealthy</v>
      </c>
      <c r="R68" t="str">
        <f t="shared" si="9"/>
        <v>Yes</v>
      </c>
      <c r="S68" t="str">
        <f t="shared" si="7"/>
        <v>High sugar</v>
      </c>
      <c r="T68" t="str">
        <f t="shared" si="10"/>
        <v>Low Fiber</v>
      </c>
      <c r="U68" t="str">
        <f t="shared" si="11"/>
        <v>Normal</v>
      </c>
      <c r="V68" t="str">
        <f t="shared" si="12"/>
        <v>Normal</v>
      </c>
      <c r="W68" t="str">
        <f t="shared" si="13"/>
        <v>High Sugar</v>
      </c>
    </row>
    <row r="69" spans="1:23" x14ac:dyDescent="0.25">
      <c r="A69" t="s">
        <v>67</v>
      </c>
      <c r="B69" t="s">
        <v>81</v>
      </c>
      <c r="C69" t="s">
        <v>86</v>
      </c>
      <c r="D69">
        <v>110</v>
      </c>
      <c r="E69">
        <v>6</v>
      </c>
      <c r="F69">
        <v>0</v>
      </c>
      <c r="G69">
        <v>230</v>
      </c>
      <c r="H69">
        <v>1</v>
      </c>
      <c r="I69">
        <v>16</v>
      </c>
      <c r="J69">
        <v>3</v>
      </c>
      <c r="K69">
        <v>55</v>
      </c>
      <c r="L69">
        <v>25</v>
      </c>
      <c r="M69">
        <v>1</v>
      </c>
      <c r="N69">
        <v>1</v>
      </c>
      <c r="O69">
        <v>1</v>
      </c>
      <c r="P69">
        <v>53.131323999999999</v>
      </c>
      <c r="Q69" t="str">
        <f t="shared" si="8"/>
        <v>Unhealthy</v>
      </c>
      <c r="R69" t="str">
        <f t="shared" si="9"/>
        <v>Yes</v>
      </c>
      <c r="S69" t="str">
        <f t="shared" si="7"/>
        <v>Normal</v>
      </c>
      <c r="T69" t="str">
        <f t="shared" si="10"/>
        <v>Low Fiber</v>
      </c>
      <c r="U69" t="str">
        <f t="shared" si="11"/>
        <v>Normal</v>
      </c>
      <c r="V69" t="str">
        <f t="shared" si="12"/>
        <v>High Sodium</v>
      </c>
      <c r="W69" t="str">
        <f t="shared" si="13"/>
        <v>Low Fiber</v>
      </c>
    </row>
    <row r="70" spans="1:23" x14ac:dyDescent="0.25">
      <c r="A70" t="s">
        <v>68</v>
      </c>
      <c r="B70" t="s">
        <v>82</v>
      </c>
      <c r="C70" t="s">
        <v>86</v>
      </c>
      <c r="D70">
        <v>90</v>
      </c>
      <c r="E70">
        <v>2</v>
      </c>
      <c r="F70">
        <v>0</v>
      </c>
      <c r="G70">
        <v>15</v>
      </c>
      <c r="H70">
        <v>3</v>
      </c>
      <c r="I70">
        <v>15</v>
      </c>
      <c r="J70">
        <v>5</v>
      </c>
      <c r="K70">
        <v>90</v>
      </c>
      <c r="L70">
        <v>25</v>
      </c>
      <c r="M70">
        <v>2</v>
      </c>
      <c r="N70">
        <v>1</v>
      </c>
      <c r="O70">
        <v>1</v>
      </c>
      <c r="P70">
        <v>59.363993000000001</v>
      </c>
      <c r="Q70" t="str">
        <f t="shared" si="8"/>
        <v>Healthy</v>
      </c>
      <c r="R70" t="str">
        <f t="shared" si="9"/>
        <v>No</v>
      </c>
      <c r="S70" t="str">
        <f t="shared" si="7"/>
        <v>Normal</v>
      </c>
      <c r="T70" t="str">
        <f t="shared" si="10"/>
        <v>Low Fiber</v>
      </c>
      <c r="U70" t="str">
        <f t="shared" si="11"/>
        <v>Normal</v>
      </c>
      <c r="V70" t="str">
        <f t="shared" si="12"/>
        <v>Normal</v>
      </c>
      <c r="W70" t="str">
        <f t="shared" si="13"/>
        <v>Low Fiber</v>
      </c>
    </row>
    <row r="71" spans="1:23" x14ac:dyDescent="0.25">
      <c r="A71" t="s">
        <v>69</v>
      </c>
      <c r="B71" t="s">
        <v>80</v>
      </c>
      <c r="C71" t="s">
        <v>86</v>
      </c>
      <c r="D71">
        <v>110</v>
      </c>
      <c r="E71">
        <v>2</v>
      </c>
      <c r="F71">
        <v>1</v>
      </c>
      <c r="G71">
        <v>200</v>
      </c>
      <c r="H71">
        <v>0</v>
      </c>
      <c r="I71">
        <v>21</v>
      </c>
      <c r="J71">
        <v>3</v>
      </c>
      <c r="K71">
        <v>35</v>
      </c>
      <c r="L71">
        <v>100</v>
      </c>
      <c r="M71">
        <v>3</v>
      </c>
      <c r="N71">
        <v>1</v>
      </c>
      <c r="O71">
        <v>1</v>
      </c>
      <c r="P71">
        <v>38.839745999999998</v>
      </c>
      <c r="Q71" t="str">
        <f t="shared" si="8"/>
        <v>Unhealthy</v>
      </c>
      <c r="R71" t="str">
        <f t="shared" si="9"/>
        <v>Yes</v>
      </c>
      <c r="S71" t="str">
        <f t="shared" si="7"/>
        <v>Normal</v>
      </c>
      <c r="T71" t="str">
        <f t="shared" si="10"/>
        <v>Low Fiber</v>
      </c>
      <c r="U71" t="str">
        <f t="shared" si="11"/>
        <v>Normal</v>
      </c>
      <c r="V71" t="str">
        <f t="shared" si="12"/>
        <v>High Sodium</v>
      </c>
      <c r="W71" t="str">
        <f t="shared" si="13"/>
        <v>Low Fiber</v>
      </c>
    </row>
    <row r="72" spans="1:23" x14ac:dyDescent="0.25">
      <c r="A72" t="s">
        <v>70</v>
      </c>
      <c r="B72" t="s">
        <v>80</v>
      </c>
      <c r="C72" t="s">
        <v>86</v>
      </c>
      <c r="D72">
        <v>140</v>
      </c>
      <c r="E72">
        <v>3</v>
      </c>
      <c r="F72">
        <v>1</v>
      </c>
      <c r="G72">
        <v>190</v>
      </c>
      <c r="H72">
        <v>4</v>
      </c>
      <c r="I72">
        <v>15</v>
      </c>
      <c r="J72">
        <v>14</v>
      </c>
      <c r="K72">
        <v>230</v>
      </c>
      <c r="L72">
        <v>100</v>
      </c>
      <c r="M72">
        <v>3</v>
      </c>
      <c r="N72">
        <v>1.5</v>
      </c>
      <c r="O72">
        <v>1</v>
      </c>
      <c r="P72">
        <v>28.592784999999999</v>
      </c>
      <c r="Q72" t="str">
        <f t="shared" si="8"/>
        <v>Unhealthy</v>
      </c>
      <c r="R72" t="str">
        <f t="shared" si="9"/>
        <v>Yes</v>
      </c>
      <c r="S72" t="str">
        <f t="shared" si="7"/>
        <v>High sugar</v>
      </c>
      <c r="T72" t="str">
        <f t="shared" si="10"/>
        <v>Normal</v>
      </c>
      <c r="U72" t="str">
        <f t="shared" si="11"/>
        <v>High Calories</v>
      </c>
      <c r="V72" t="str">
        <f t="shared" si="12"/>
        <v>Normal</v>
      </c>
      <c r="W72" t="str">
        <f t="shared" si="13"/>
        <v>High Sugar</v>
      </c>
    </row>
    <row r="73" spans="1:23" x14ac:dyDescent="0.25">
      <c r="A73" t="s">
        <v>71</v>
      </c>
      <c r="B73" t="s">
        <v>80</v>
      </c>
      <c r="C73" t="s">
        <v>86</v>
      </c>
      <c r="D73">
        <v>100</v>
      </c>
      <c r="E73">
        <v>3</v>
      </c>
      <c r="F73">
        <v>1</v>
      </c>
      <c r="G73">
        <v>200</v>
      </c>
      <c r="H73">
        <v>3</v>
      </c>
      <c r="I73">
        <v>16</v>
      </c>
      <c r="J73">
        <v>3</v>
      </c>
      <c r="K73">
        <v>110</v>
      </c>
      <c r="L73">
        <v>100</v>
      </c>
      <c r="M73">
        <v>3</v>
      </c>
      <c r="N73">
        <v>1</v>
      </c>
      <c r="O73">
        <v>1</v>
      </c>
      <c r="P73">
        <v>46.658844000000002</v>
      </c>
      <c r="Q73" t="str">
        <f t="shared" si="8"/>
        <v>Healthy</v>
      </c>
      <c r="R73" t="str">
        <f t="shared" si="9"/>
        <v>No</v>
      </c>
      <c r="S73" t="str">
        <f t="shared" si="7"/>
        <v>Normal</v>
      </c>
      <c r="T73" t="str">
        <f t="shared" si="10"/>
        <v>Low Fiber</v>
      </c>
      <c r="U73" t="str">
        <f t="shared" si="11"/>
        <v>Normal</v>
      </c>
      <c r="V73" t="str">
        <f t="shared" si="12"/>
        <v>High Sodium</v>
      </c>
      <c r="W73" t="str">
        <f t="shared" si="13"/>
        <v>Low Fiber</v>
      </c>
    </row>
    <row r="74" spans="1:23" x14ac:dyDescent="0.25">
      <c r="A74" t="s">
        <v>72</v>
      </c>
      <c r="B74" t="s">
        <v>80</v>
      </c>
      <c r="C74" t="s">
        <v>86</v>
      </c>
      <c r="D74">
        <v>110</v>
      </c>
      <c r="E74">
        <v>2</v>
      </c>
      <c r="F74">
        <v>1</v>
      </c>
      <c r="G74">
        <v>250</v>
      </c>
      <c r="H74">
        <v>0</v>
      </c>
      <c r="I74">
        <v>21</v>
      </c>
      <c r="J74">
        <v>3</v>
      </c>
      <c r="K74">
        <v>60</v>
      </c>
      <c r="L74">
        <v>25</v>
      </c>
      <c r="M74">
        <v>3</v>
      </c>
      <c r="N74">
        <v>1</v>
      </c>
      <c r="O74">
        <v>0.75</v>
      </c>
      <c r="P74">
        <v>39.106174000000003</v>
      </c>
      <c r="Q74" t="str">
        <f t="shared" si="8"/>
        <v>Unhealthy</v>
      </c>
      <c r="R74" t="str">
        <f t="shared" si="9"/>
        <v>Yes</v>
      </c>
      <c r="S74" t="str">
        <f t="shared" si="7"/>
        <v>Normal</v>
      </c>
      <c r="T74" t="str">
        <f t="shared" si="10"/>
        <v>Low Fiber</v>
      </c>
      <c r="U74" t="str">
        <f t="shared" si="11"/>
        <v>Normal</v>
      </c>
      <c r="V74" t="str">
        <f t="shared" si="12"/>
        <v>High Sodium</v>
      </c>
      <c r="W74" t="str">
        <f t="shared" si="13"/>
        <v>Low Fiber</v>
      </c>
    </row>
    <row r="75" spans="1:23" x14ac:dyDescent="0.25">
      <c r="A75" t="s">
        <v>73</v>
      </c>
      <c r="B75" t="s">
        <v>80</v>
      </c>
      <c r="C75" t="s">
        <v>86</v>
      </c>
      <c r="D75">
        <v>110</v>
      </c>
      <c r="E75">
        <v>1</v>
      </c>
      <c r="F75">
        <v>1</v>
      </c>
      <c r="G75">
        <v>140</v>
      </c>
      <c r="H75">
        <v>0</v>
      </c>
      <c r="I75">
        <v>13</v>
      </c>
      <c r="J75">
        <v>12</v>
      </c>
      <c r="K75">
        <v>25</v>
      </c>
      <c r="L75">
        <v>25</v>
      </c>
      <c r="M75">
        <v>2</v>
      </c>
      <c r="N75">
        <v>1</v>
      </c>
      <c r="O75">
        <v>1</v>
      </c>
      <c r="P75">
        <v>27.753301</v>
      </c>
      <c r="Q75" t="str">
        <f t="shared" si="8"/>
        <v>Unhealthy</v>
      </c>
      <c r="R75" t="str">
        <f t="shared" si="9"/>
        <v>Yes</v>
      </c>
      <c r="S75" t="str">
        <f t="shared" si="7"/>
        <v>High sugar</v>
      </c>
      <c r="T75" t="str">
        <f t="shared" si="10"/>
        <v>Low Fiber</v>
      </c>
      <c r="U75" t="str">
        <f t="shared" si="11"/>
        <v>Normal</v>
      </c>
      <c r="V75" t="str">
        <f t="shared" si="12"/>
        <v>Normal</v>
      </c>
      <c r="W75" t="str">
        <f t="shared" si="13"/>
        <v>High Sugar</v>
      </c>
    </row>
    <row r="76" spans="1:23" x14ac:dyDescent="0.25">
      <c r="A76" t="s">
        <v>74</v>
      </c>
      <c r="B76" t="s">
        <v>85</v>
      </c>
      <c r="C76" t="s">
        <v>86</v>
      </c>
      <c r="D76">
        <v>100</v>
      </c>
      <c r="E76">
        <v>3</v>
      </c>
      <c r="F76">
        <v>1</v>
      </c>
      <c r="G76">
        <v>230</v>
      </c>
      <c r="H76">
        <v>3</v>
      </c>
      <c r="I76">
        <v>17</v>
      </c>
      <c r="J76">
        <v>3</v>
      </c>
      <c r="K76">
        <v>115</v>
      </c>
      <c r="L76">
        <v>25</v>
      </c>
      <c r="M76">
        <v>1</v>
      </c>
      <c r="N76">
        <v>1</v>
      </c>
      <c r="O76">
        <v>0.67</v>
      </c>
      <c r="P76">
        <v>49.787444999999998</v>
      </c>
      <c r="Q76" t="str">
        <f t="shared" si="8"/>
        <v>Unhealthy</v>
      </c>
      <c r="R76" t="str">
        <f t="shared" si="9"/>
        <v>Yes</v>
      </c>
      <c r="S76" t="str">
        <f t="shared" si="7"/>
        <v>Normal</v>
      </c>
      <c r="T76" t="str">
        <f t="shared" si="10"/>
        <v>Low Fiber</v>
      </c>
      <c r="U76" t="str">
        <f t="shared" si="11"/>
        <v>Normal</v>
      </c>
      <c r="V76" t="str">
        <f t="shared" si="12"/>
        <v>High Sodium</v>
      </c>
      <c r="W76" t="str">
        <f t="shared" si="13"/>
        <v>Low Fiber</v>
      </c>
    </row>
    <row r="77" spans="1:23" x14ac:dyDescent="0.25">
      <c r="A77" t="s">
        <v>75</v>
      </c>
      <c r="B77" t="s">
        <v>80</v>
      </c>
      <c r="C77" t="s">
        <v>86</v>
      </c>
      <c r="D77">
        <v>100</v>
      </c>
      <c r="E77">
        <v>3</v>
      </c>
      <c r="F77">
        <v>1</v>
      </c>
      <c r="G77">
        <v>200</v>
      </c>
      <c r="H77">
        <v>3</v>
      </c>
      <c r="I77">
        <v>17</v>
      </c>
      <c r="J77">
        <v>3</v>
      </c>
      <c r="K77">
        <v>110</v>
      </c>
      <c r="L77">
        <v>25</v>
      </c>
      <c r="M77">
        <v>1</v>
      </c>
      <c r="N77">
        <v>1</v>
      </c>
      <c r="O77">
        <v>1</v>
      </c>
      <c r="P77">
        <v>51.592193000000002</v>
      </c>
      <c r="Q77" t="str">
        <f t="shared" si="8"/>
        <v>Healthy</v>
      </c>
      <c r="R77" t="str">
        <f t="shared" si="9"/>
        <v>No</v>
      </c>
      <c r="S77" t="str">
        <f t="shared" si="7"/>
        <v>Normal</v>
      </c>
      <c r="T77" t="str">
        <f t="shared" si="10"/>
        <v>Low Fiber</v>
      </c>
      <c r="U77" t="str">
        <f t="shared" si="11"/>
        <v>Normal</v>
      </c>
      <c r="V77" t="str">
        <f t="shared" si="12"/>
        <v>High Sodium</v>
      </c>
      <c r="W77" t="str">
        <f t="shared" si="13"/>
        <v>Low Fiber</v>
      </c>
    </row>
    <row r="78" spans="1:23" x14ac:dyDescent="0.25">
      <c r="A78" t="s">
        <v>76</v>
      </c>
      <c r="B78" t="s">
        <v>80</v>
      </c>
      <c r="C78" t="s">
        <v>86</v>
      </c>
      <c r="D78">
        <v>110</v>
      </c>
      <c r="E78">
        <v>2</v>
      </c>
      <c r="F78">
        <v>1</v>
      </c>
      <c r="G78">
        <v>200</v>
      </c>
      <c r="H78">
        <v>1</v>
      </c>
      <c r="I78">
        <v>16</v>
      </c>
      <c r="J78">
        <v>8</v>
      </c>
      <c r="K78">
        <v>60</v>
      </c>
      <c r="L78">
        <v>25</v>
      </c>
      <c r="M78">
        <v>1</v>
      </c>
      <c r="N78">
        <v>1</v>
      </c>
      <c r="O78">
        <v>0.75</v>
      </c>
      <c r="P78">
        <v>36.187559</v>
      </c>
      <c r="Q78" t="str">
        <f t="shared" si="8"/>
        <v>Unhealthy</v>
      </c>
      <c r="R78" t="str">
        <f t="shared" si="9"/>
        <v>Yes</v>
      </c>
      <c r="S78" t="str">
        <f t="shared" si="7"/>
        <v>High sugar</v>
      </c>
      <c r="T78" t="str">
        <f t="shared" si="10"/>
        <v>Low Fiber</v>
      </c>
      <c r="U78" t="str">
        <f t="shared" si="11"/>
        <v>Normal</v>
      </c>
      <c r="V78" t="str">
        <f t="shared" si="12"/>
        <v>High Sodium</v>
      </c>
      <c r="W78" t="str">
        <f t="shared" si="13"/>
        <v>High Sugar</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workbookViewId="0">
      <selection activeCell="L15" sqref="L15"/>
    </sheetView>
  </sheetViews>
  <sheetFormatPr defaultRowHeight="15" x14ac:dyDescent="0.25"/>
  <cols>
    <col min="1" max="1" width="13.140625" customWidth="1"/>
    <col min="2" max="2" width="20.7109375" customWidth="1"/>
    <col min="5" max="5" width="26.140625" customWidth="1"/>
    <col min="6" max="6" width="16.7109375" customWidth="1"/>
    <col min="9" max="10" width="20.42578125" customWidth="1"/>
  </cols>
  <sheetData>
    <row r="1" spans="1:11" x14ac:dyDescent="0.25">
      <c r="A1" s="17" t="s">
        <v>129</v>
      </c>
      <c r="B1" s="17"/>
      <c r="E1" s="17" t="s">
        <v>130</v>
      </c>
      <c r="F1" s="17"/>
    </row>
    <row r="2" spans="1:11" x14ac:dyDescent="0.25">
      <c r="A2" s="3" t="s">
        <v>104</v>
      </c>
      <c r="B2" t="s">
        <v>109</v>
      </c>
      <c r="E2" s="3" t="s">
        <v>104</v>
      </c>
      <c r="F2" t="s">
        <v>110</v>
      </c>
      <c r="I2" s="6"/>
      <c r="J2" s="7"/>
      <c r="K2" s="8"/>
    </row>
    <row r="3" spans="1:11" x14ac:dyDescent="0.25">
      <c r="A3" s="4" t="s">
        <v>105</v>
      </c>
      <c r="B3" s="5">
        <v>9</v>
      </c>
      <c r="E3" s="4" t="s">
        <v>0</v>
      </c>
      <c r="F3" s="5">
        <v>68.402973000000003</v>
      </c>
      <c r="I3" s="9"/>
      <c r="J3" s="10"/>
      <c r="K3" s="11"/>
    </row>
    <row r="4" spans="1:11" x14ac:dyDescent="0.25">
      <c r="A4" s="4" t="s">
        <v>106</v>
      </c>
      <c r="B4" s="5">
        <v>66</v>
      </c>
      <c r="E4" s="4" t="s">
        <v>2</v>
      </c>
      <c r="F4" s="5">
        <v>59.425505000000001</v>
      </c>
      <c r="I4" s="9"/>
      <c r="J4" s="10"/>
      <c r="K4" s="11"/>
    </row>
    <row r="5" spans="1:11" x14ac:dyDescent="0.25">
      <c r="A5" s="4" t="s">
        <v>107</v>
      </c>
      <c r="B5" s="5">
        <v>75</v>
      </c>
      <c r="E5" s="4" t="s">
        <v>20</v>
      </c>
      <c r="F5" s="5">
        <v>64.533816000000002</v>
      </c>
      <c r="I5" s="9"/>
      <c r="J5" s="10"/>
      <c r="K5" s="11"/>
    </row>
    <row r="6" spans="1:11" x14ac:dyDescent="0.25">
      <c r="E6" s="4" t="s">
        <v>26</v>
      </c>
      <c r="F6" s="5">
        <v>58.345140999999998</v>
      </c>
      <c r="I6" s="9"/>
      <c r="J6" s="10"/>
      <c r="K6" s="11"/>
    </row>
    <row r="7" spans="1:11" x14ac:dyDescent="0.25">
      <c r="E7" s="4" t="s">
        <v>50</v>
      </c>
      <c r="F7" s="5">
        <v>59.642837</v>
      </c>
      <c r="I7" s="9"/>
      <c r="J7" s="10"/>
      <c r="K7" s="11"/>
    </row>
    <row r="8" spans="1:11" x14ac:dyDescent="0.25">
      <c r="E8" s="4" t="s">
        <v>54</v>
      </c>
      <c r="F8" s="5">
        <v>60.756112000000002</v>
      </c>
      <c r="I8" s="9"/>
      <c r="J8" s="10"/>
      <c r="K8" s="11"/>
    </row>
    <row r="9" spans="1:11" x14ac:dyDescent="0.25">
      <c r="A9" s="17" t="s">
        <v>131</v>
      </c>
      <c r="B9" s="17"/>
      <c r="E9" s="4" t="s">
        <v>55</v>
      </c>
      <c r="F9" s="5">
        <v>63.005645000000001</v>
      </c>
      <c r="I9" s="9"/>
      <c r="J9" s="10"/>
      <c r="K9" s="11"/>
    </row>
    <row r="10" spans="1:11" x14ac:dyDescent="0.25">
      <c r="A10" s="3" t="s">
        <v>104</v>
      </c>
      <c r="B10" t="s">
        <v>109</v>
      </c>
      <c r="E10" s="4" t="s">
        <v>63</v>
      </c>
      <c r="F10" s="5">
        <v>68.235884999999996</v>
      </c>
      <c r="I10" s="9"/>
      <c r="J10" s="10"/>
      <c r="K10" s="11"/>
    </row>
    <row r="11" spans="1:11" x14ac:dyDescent="0.25">
      <c r="A11" s="4" t="s">
        <v>116</v>
      </c>
      <c r="B11" s="5">
        <v>2</v>
      </c>
      <c r="E11" s="4" t="s">
        <v>65</v>
      </c>
      <c r="F11" s="5">
        <v>72.801787000000004</v>
      </c>
      <c r="I11" s="9"/>
      <c r="J11" s="10"/>
      <c r="K11" s="11"/>
    </row>
    <row r="12" spans="1:11" x14ac:dyDescent="0.25">
      <c r="A12" s="4" t="s">
        <v>117</v>
      </c>
      <c r="B12" s="5">
        <v>46</v>
      </c>
      <c r="E12" s="4" t="s">
        <v>68</v>
      </c>
      <c r="F12" s="5">
        <v>59.363993000000001</v>
      </c>
      <c r="I12" s="9"/>
      <c r="J12" s="10"/>
      <c r="K12" s="11"/>
    </row>
    <row r="13" spans="1:11" x14ac:dyDescent="0.25">
      <c r="A13" s="4" t="s">
        <v>118</v>
      </c>
      <c r="B13" s="5">
        <v>27</v>
      </c>
      <c r="E13" s="4" t="s">
        <v>107</v>
      </c>
      <c r="F13" s="5">
        <v>63.451369400000011</v>
      </c>
      <c r="I13" s="9"/>
      <c r="J13" s="10"/>
      <c r="K13" s="11"/>
    </row>
    <row r="14" spans="1:11" x14ac:dyDescent="0.25">
      <c r="A14" s="4" t="s">
        <v>107</v>
      </c>
      <c r="B14" s="5">
        <v>75</v>
      </c>
      <c r="I14" s="9"/>
      <c r="J14" s="10"/>
      <c r="K14" s="11"/>
    </row>
    <row r="15" spans="1:11" x14ac:dyDescent="0.25">
      <c r="I15" s="9"/>
      <c r="J15" s="10"/>
      <c r="K15" s="11"/>
    </row>
    <row r="16" spans="1:11" x14ac:dyDescent="0.25">
      <c r="E16" s="17" t="s">
        <v>132</v>
      </c>
      <c r="F16" s="17"/>
      <c r="I16" s="9"/>
      <c r="J16" s="10"/>
      <c r="K16" s="11"/>
    </row>
    <row r="17" spans="1:11" x14ac:dyDescent="0.25">
      <c r="E17" s="3" t="s">
        <v>104</v>
      </c>
      <c r="F17" t="s">
        <v>125</v>
      </c>
      <c r="I17" s="9"/>
      <c r="J17" s="10"/>
      <c r="K17" s="11"/>
    </row>
    <row r="18" spans="1:11" x14ac:dyDescent="0.25">
      <c r="E18" s="4" t="s">
        <v>118</v>
      </c>
      <c r="F18" s="5">
        <v>65</v>
      </c>
      <c r="I18" s="9"/>
      <c r="J18" s="10"/>
      <c r="K18" s="11"/>
    </row>
    <row r="19" spans="1:11" x14ac:dyDescent="0.25">
      <c r="A19" s="17" t="s">
        <v>128</v>
      </c>
      <c r="B19" s="17"/>
      <c r="E19" s="4" t="s">
        <v>127</v>
      </c>
      <c r="F19" s="5">
        <v>10</v>
      </c>
      <c r="I19" s="12"/>
      <c r="J19" s="13"/>
      <c r="K19" s="14"/>
    </row>
    <row r="20" spans="1:11" x14ac:dyDescent="0.25">
      <c r="A20" s="3" t="s">
        <v>104</v>
      </c>
      <c r="B20" t="s">
        <v>125</v>
      </c>
      <c r="E20" s="4" t="s">
        <v>107</v>
      </c>
      <c r="F20" s="5">
        <v>75</v>
      </c>
    </row>
    <row r="21" spans="1:11" x14ac:dyDescent="0.25">
      <c r="A21" s="4" t="s">
        <v>126</v>
      </c>
      <c r="B21" s="5">
        <v>46</v>
      </c>
    </row>
    <row r="22" spans="1:11" x14ac:dyDescent="0.25">
      <c r="A22" s="4" t="s">
        <v>127</v>
      </c>
      <c r="B22" s="5">
        <v>29</v>
      </c>
    </row>
    <row r="23" spans="1:11" x14ac:dyDescent="0.25">
      <c r="A23" s="4" t="s">
        <v>107</v>
      </c>
      <c r="B23" s="5">
        <v>75</v>
      </c>
    </row>
  </sheetData>
  <mergeCells count="5">
    <mergeCell ref="A1:B1"/>
    <mergeCell ref="E1:F1"/>
    <mergeCell ref="A9:B9"/>
    <mergeCell ref="E16:F16"/>
    <mergeCell ref="A19:B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18" sqref="B18"/>
    </sheetView>
  </sheetViews>
  <sheetFormatPr defaultRowHeight="15" x14ac:dyDescent="0.25"/>
  <cols>
    <col min="1" max="1" width="58" customWidth="1"/>
    <col min="2" max="2" width="29.7109375" customWidth="1"/>
  </cols>
  <sheetData>
    <row r="1" spans="1:2" ht="23.25" x14ac:dyDescent="0.35">
      <c r="A1" s="18" t="s">
        <v>124</v>
      </c>
      <c r="B1" s="19"/>
    </row>
    <row r="2" spans="1:2" x14ac:dyDescent="0.25">
      <c r="A2" t="s">
        <v>119</v>
      </c>
      <c r="B2">
        <f>COUNTA('Clean Data'!A2:A78)</f>
        <v>77</v>
      </c>
    </row>
    <row r="3" spans="1:2" x14ac:dyDescent="0.25">
      <c r="A3" t="s">
        <v>120</v>
      </c>
      <c r="B3">
        <f>COUNTIF('Clean Data'!Q2:Q78,'Clean Data'!Q5)</f>
        <v>11</v>
      </c>
    </row>
    <row r="4" spans="1:2" x14ac:dyDescent="0.25">
      <c r="A4" t="s">
        <v>121</v>
      </c>
      <c r="B4">
        <f>COUNTIF('Clean Data'!Q2:Q78,'Clean Data'!Q2)</f>
        <v>66</v>
      </c>
    </row>
    <row r="5" spans="1:2" x14ac:dyDescent="0.25">
      <c r="A5" t="s">
        <v>122</v>
      </c>
      <c r="B5" s="16">
        <f>AVERAGE('Clean Data'!P2:P78)</f>
        <v>42.665704987012987</v>
      </c>
    </row>
    <row r="6" spans="1:2" x14ac:dyDescent="0.25">
      <c r="A6" t="s">
        <v>123</v>
      </c>
      <c r="B6">
        <f>COUNTIF('Clean Data'!W2:W78,'Clean Data'!W2)</f>
        <v>46</v>
      </c>
    </row>
    <row r="7" spans="1:2" x14ac:dyDescent="0.25">
      <c r="B7" s="15"/>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S3"/>
  <sheetViews>
    <sheetView showGridLines="0" tabSelected="1" zoomScale="46" zoomScaleNormal="46" workbookViewId="0">
      <selection activeCell="AI22" sqref="AI22:AI23"/>
    </sheetView>
  </sheetViews>
  <sheetFormatPr defaultRowHeight="15" x14ac:dyDescent="0.25"/>
  <sheetData>
    <row r="3" spans="2:19" ht="31.5" x14ac:dyDescent="0.5">
      <c r="B3" s="20" t="s">
        <v>134</v>
      </c>
      <c r="C3" s="21"/>
      <c r="D3" s="21"/>
      <c r="E3" s="21"/>
      <c r="F3" s="21"/>
      <c r="G3" s="21"/>
      <c r="H3" s="21"/>
      <c r="I3" s="21"/>
      <c r="J3" s="21"/>
      <c r="K3" s="21"/>
      <c r="L3" s="21"/>
      <c r="M3" s="21"/>
      <c r="N3" s="21"/>
      <c r="O3" s="21"/>
      <c r="P3" s="21"/>
      <c r="Q3" s="21"/>
      <c r="R3" s="21"/>
      <c r="S3" s="21"/>
    </row>
  </sheetData>
  <mergeCells count="1">
    <mergeCell ref="B3:S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Pivot Table</vt:lpstr>
      <vt:lpstr>KPI Summary</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dc:creator>
  <cp:lastModifiedBy>user</cp:lastModifiedBy>
  <dcterms:created xsi:type="dcterms:W3CDTF">2024-06-09T00:09:00Z</dcterms:created>
  <dcterms:modified xsi:type="dcterms:W3CDTF">2026-01-05T20:36:38Z</dcterms:modified>
</cp:coreProperties>
</file>